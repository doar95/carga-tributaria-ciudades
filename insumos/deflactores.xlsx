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hdgov-my.sharepoint.com/personal/lesalas_shd_gov_co1/Documents/Contrato 2026/Otros/"/>
    </mc:Choice>
  </mc:AlternateContent>
  <xr:revisionPtr revIDLastSave="105" documentId="8_{E678F1D2-3109-4F33-A61C-9F9758C4016E}" xr6:coauthVersionLast="47" xr6:coauthVersionMax="47" xr10:uidLastSave="{AD1A8942-BFED-4C79-A43B-7BA42DBAEB57}"/>
  <bookViews>
    <workbookView xWindow="-110" yWindow="-110" windowWidth="19420" windowHeight="11500" activeTab="1" xr2:uid="{00000000-000D-0000-FFFF-FFFF00000000}"/>
  </bookViews>
  <sheets>
    <sheet name="Deflactor" sheetId="1" r:id="rId1"/>
    <sheet name="Deflactor Hist.Banre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2" i="2" l="1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4" i="2"/>
  <c r="D31" i="2"/>
  <c r="O35" i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3" i="2"/>
  <c r="D3" i="2"/>
  <c r="C74" i="2"/>
  <c r="C34" i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F9" i="1"/>
  <c r="E10" i="1"/>
  <c r="E9" i="1"/>
  <c r="E32" i="1"/>
  <c r="E33" i="1"/>
  <c r="E34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11" i="1"/>
  <c r="E12" i="1"/>
  <c r="E13" i="1"/>
  <c r="E14" i="1"/>
  <c r="E15" i="1"/>
  <c r="E16" i="1"/>
  <c r="E17" i="1"/>
  <c r="E18" i="1"/>
  <c r="U9" i="1"/>
  <c r="Z31" i="1"/>
  <c r="D32" i="1" l="1"/>
  <c r="A27" i="1"/>
  <c r="C11" i="1" l="1"/>
  <c r="N11" i="1" l="1"/>
  <c r="M11" i="1"/>
  <c r="L11" i="1"/>
  <c r="K11" i="1"/>
  <c r="J11" i="1"/>
  <c r="I11" i="1"/>
  <c r="H11" i="1"/>
  <c r="G11" i="1"/>
  <c r="F11" i="1"/>
  <c r="C10" i="1"/>
  <c r="C28" i="1"/>
  <c r="M27" i="1"/>
  <c r="L27" i="1"/>
  <c r="K27" i="1"/>
  <c r="J27" i="1"/>
  <c r="I27" i="1"/>
  <c r="H27" i="1"/>
  <c r="G27" i="1"/>
  <c r="F27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N26" i="1"/>
  <c r="L26" i="1"/>
  <c r="K26" i="1"/>
  <c r="J26" i="1"/>
  <c r="I26" i="1"/>
  <c r="H26" i="1"/>
  <c r="G26" i="1"/>
  <c r="F26" i="1"/>
  <c r="O25" i="1"/>
  <c r="N25" i="1"/>
  <c r="M25" i="1"/>
  <c r="K25" i="1"/>
  <c r="J25" i="1"/>
  <c r="I25" i="1"/>
  <c r="H25" i="1"/>
  <c r="G25" i="1"/>
  <c r="F25" i="1"/>
  <c r="N24" i="1"/>
  <c r="M24" i="1"/>
  <c r="L24" i="1"/>
  <c r="K24" i="1"/>
  <c r="J24" i="1"/>
  <c r="I24" i="1"/>
  <c r="H24" i="1"/>
  <c r="G24" i="1"/>
  <c r="F24" i="1"/>
  <c r="N23" i="1"/>
  <c r="M23" i="1"/>
  <c r="L23" i="1"/>
  <c r="K23" i="1"/>
  <c r="J23" i="1"/>
  <c r="I23" i="1"/>
  <c r="H23" i="1"/>
  <c r="G23" i="1"/>
  <c r="F23" i="1"/>
  <c r="N22" i="1"/>
  <c r="M22" i="1"/>
  <c r="L22" i="1"/>
  <c r="K22" i="1"/>
  <c r="J22" i="1"/>
  <c r="I22" i="1"/>
  <c r="H22" i="1"/>
  <c r="G22" i="1"/>
  <c r="F22" i="1"/>
  <c r="B22" i="1"/>
  <c r="B23" i="1" s="1"/>
  <c r="B24" i="1" s="1"/>
  <c r="N21" i="1"/>
  <c r="M21" i="1"/>
  <c r="L21" i="1"/>
  <c r="K21" i="1"/>
  <c r="J21" i="1"/>
  <c r="I21" i="1"/>
  <c r="H21" i="1"/>
  <c r="G21" i="1"/>
  <c r="F21" i="1"/>
  <c r="N20" i="1"/>
  <c r="M20" i="1"/>
  <c r="L20" i="1"/>
  <c r="K20" i="1"/>
  <c r="J20" i="1"/>
  <c r="I20" i="1"/>
  <c r="H20" i="1"/>
  <c r="G20" i="1"/>
  <c r="F20" i="1"/>
  <c r="O19" i="1"/>
  <c r="N19" i="1"/>
  <c r="M19" i="1"/>
  <c r="L19" i="1"/>
  <c r="K19" i="1"/>
  <c r="J19" i="1"/>
  <c r="I19" i="1"/>
  <c r="H19" i="1"/>
  <c r="G19" i="1"/>
  <c r="F19" i="1"/>
  <c r="N18" i="1"/>
  <c r="M18" i="1"/>
  <c r="L18" i="1"/>
  <c r="K18" i="1"/>
  <c r="J18" i="1"/>
  <c r="I18" i="1"/>
  <c r="H18" i="1"/>
  <c r="G18" i="1"/>
  <c r="F18" i="1"/>
  <c r="N17" i="1"/>
  <c r="M17" i="1"/>
  <c r="L17" i="1"/>
  <c r="K17" i="1"/>
  <c r="J17" i="1"/>
  <c r="I17" i="1"/>
  <c r="H17" i="1"/>
  <c r="G17" i="1"/>
  <c r="F17" i="1"/>
  <c r="N16" i="1"/>
  <c r="M16" i="1"/>
  <c r="L16" i="1"/>
  <c r="K16" i="1"/>
  <c r="J16" i="1"/>
  <c r="I16" i="1"/>
  <c r="H16" i="1"/>
  <c r="G16" i="1"/>
  <c r="F16" i="1"/>
  <c r="N15" i="1"/>
  <c r="M15" i="1"/>
  <c r="L15" i="1"/>
  <c r="K15" i="1"/>
  <c r="J15" i="1"/>
  <c r="I15" i="1"/>
  <c r="H15" i="1"/>
  <c r="G15" i="1"/>
  <c r="F15" i="1"/>
  <c r="N14" i="1"/>
  <c r="M14" i="1"/>
  <c r="L14" i="1"/>
  <c r="K14" i="1"/>
  <c r="J14" i="1"/>
  <c r="I14" i="1"/>
  <c r="H14" i="1"/>
  <c r="G14" i="1"/>
  <c r="F14" i="1"/>
  <c r="N13" i="1"/>
  <c r="M13" i="1"/>
  <c r="L13" i="1"/>
  <c r="K13" i="1"/>
  <c r="J13" i="1"/>
  <c r="I13" i="1"/>
  <c r="H13" i="1"/>
  <c r="G13" i="1"/>
  <c r="F13" i="1"/>
  <c r="N12" i="1"/>
  <c r="M12" i="1"/>
  <c r="L12" i="1"/>
  <c r="K12" i="1"/>
  <c r="J12" i="1"/>
  <c r="I12" i="1"/>
  <c r="H12" i="1"/>
  <c r="G12" i="1"/>
  <c r="F12" i="1"/>
  <c r="O15" i="1" l="1"/>
  <c r="L28" i="1"/>
  <c r="O11" i="1"/>
  <c r="C9" i="1"/>
  <c r="O10" i="1"/>
  <c r="N10" i="1"/>
  <c r="M10" i="1"/>
  <c r="L10" i="1"/>
  <c r="K10" i="1"/>
  <c r="J10" i="1"/>
  <c r="I10" i="1"/>
  <c r="H10" i="1"/>
  <c r="G10" i="1"/>
  <c r="F10" i="1"/>
  <c r="I28" i="1"/>
  <c r="C29" i="1"/>
  <c r="O18" i="1"/>
  <c r="F28" i="1"/>
  <c r="N28" i="1"/>
  <c r="O13" i="1"/>
  <c r="O17" i="1"/>
  <c r="O21" i="1"/>
  <c r="O22" i="1"/>
  <c r="O23" i="1"/>
  <c r="O24" i="1"/>
  <c r="O26" i="1"/>
  <c r="G28" i="1"/>
  <c r="K28" i="1"/>
  <c r="M28" i="1"/>
  <c r="O14" i="1"/>
  <c r="O27" i="1"/>
  <c r="J28" i="1"/>
  <c r="O12" i="1"/>
  <c r="O16" i="1"/>
  <c r="O20" i="1"/>
  <c r="H28" i="1"/>
  <c r="N29" i="1" l="1"/>
  <c r="C30" i="1"/>
  <c r="P28" i="1"/>
  <c r="P11" i="1"/>
  <c r="P10" i="1"/>
  <c r="P9" i="1"/>
  <c r="O9" i="1"/>
  <c r="N9" i="1"/>
  <c r="M9" i="1"/>
  <c r="L9" i="1"/>
  <c r="K9" i="1"/>
  <c r="J9" i="1"/>
  <c r="I9" i="1"/>
  <c r="H9" i="1"/>
  <c r="G9" i="1"/>
  <c r="P29" i="1"/>
  <c r="L29" i="1"/>
  <c r="H29" i="1"/>
  <c r="P26" i="1"/>
  <c r="P24" i="1"/>
  <c r="P23" i="1"/>
  <c r="P22" i="1"/>
  <c r="P21" i="1"/>
  <c r="P17" i="1"/>
  <c r="P13" i="1"/>
  <c r="J29" i="1"/>
  <c r="F29" i="1"/>
  <c r="P19" i="1"/>
  <c r="M29" i="1"/>
  <c r="P20" i="1"/>
  <c r="P16" i="1"/>
  <c r="P12" i="1"/>
  <c r="O29" i="1"/>
  <c r="K29" i="1"/>
  <c r="G29" i="1"/>
  <c r="P27" i="1"/>
  <c r="P18" i="1"/>
  <c r="P14" i="1"/>
  <c r="P25" i="1"/>
  <c r="P15" i="1"/>
  <c r="I29" i="1"/>
  <c r="Q28" i="1" l="1"/>
  <c r="Q30" i="1"/>
  <c r="Q26" i="1"/>
  <c r="Q14" i="1"/>
  <c r="Q22" i="1"/>
  <c r="C31" i="1"/>
  <c r="Q18" i="1"/>
  <c r="N30" i="1"/>
  <c r="Q12" i="1"/>
  <c r="H30" i="1"/>
  <c r="Q16" i="1"/>
  <c r="F30" i="1"/>
  <c r="Q19" i="1"/>
  <c r="Q20" i="1"/>
  <c r="J30" i="1"/>
  <c r="Q29" i="1"/>
  <c r="M30" i="1"/>
  <c r="I30" i="1"/>
  <c r="Q17" i="1"/>
  <c r="Q24" i="1"/>
  <c r="L30" i="1"/>
  <c r="P30" i="1"/>
  <c r="Q25" i="1"/>
  <c r="G30" i="1"/>
  <c r="Q21" i="1"/>
  <c r="Q13" i="1"/>
  <c r="Q15" i="1"/>
  <c r="Q11" i="1"/>
  <c r="Q9" i="1"/>
  <c r="Q27" i="1"/>
  <c r="O30" i="1"/>
  <c r="Q23" i="1"/>
  <c r="Q10" i="1"/>
  <c r="K30" i="1"/>
  <c r="C32" i="1" l="1"/>
  <c r="R9" i="1"/>
  <c r="R28" i="1"/>
  <c r="R10" i="1"/>
  <c r="Q31" i="1"/>
  <c r="P31" i="1"/>
  <c r="O31" i="1"/>
  <c r="R21" i="1"/>
  <c r="R31" i="1"/>
  <c r="I31" i="1"/>
  <c r="R23" i="1"/>
  <c r="R11" i="1"/>
  <c r="R27" i="1"/>
  <c r="R20" i="1"/>
  <c r="R12" i="1"/>
  <c r="G31" i="1"/>
  <c r="R25" i="1"/>
  <c r="J31" i="1"/>
  <c r="R22" i="1"/>
  <c r="K31" i="1"/>
  <c r="R16" i="1"/>
  <c r="R24" i="1"/>
  <c r="F31" i="1"/>
  <c r="R19" i="1"/>
  <c r="R18" i="1"/>
  <c r="R29" i="1"/>
  <c r="R13" i="1"/>
  <c r="L31" i="1"/>
  <c r="M31" i="1"/>
  <c r="R26" i="1"/>
  <c r="R17" i="1"/>
  <c r="H31" i="1"/>
  <c r="R15" i="1"/>
  <c r="R14" i="1"/>
  <c r="R30" i="1"/>
  <c r="N31" i="1"/>
  <c r="S25" i="1" l="1"/>
  <c r="C33" i="1"/>
  <c r="S24" i="1"/>
  <c r="S31" i="1"/>
  <c r="S18" i="1"/>
  <c r="S26" i="1"/>
  <c r="S15" i="1"/>
  <c r="S19" i="1"/>
  <c r="S27" i="1"/>
  <c r="S12" i="1"/>
  <c r="S20" i="1"/>
  <c r="S21" i="1"/>
  <c r="S13" i="1"/>
  <c r="S14" i="1"/>
  <c r="S22" i="1"/>
  <c r="S23" i="1"/>
  <c r="S32" i="1"/>
  <c r="S17" i="1"/>
  <c r="S16" i="1"/>
  <c r="S11" i="1"/>
  <c r="S10" i="1"/>
  <c r="S28" i="1"/>
  <c r="S9" i="1"/>
  <c r="S29" i="1"/>
  <c r="S30" i="1"/>
  <c r="H32" i="1"/>
  <c r="K32" i="1"/>
  <c r="G32" i="1"/>
  <c r="Q32" i="1"/>
  <c r="O32" i="1"/>
  <c r="P32" i="1"/>
  <c r="R32" i="1"/>
  <c r="I32" i="1"/>
  <c r="M32" i="1"/>
  <c r="F32" i="1"/>
  <c r="L32" i="1"/>
  <c r="J32" i="1"/>
  <c r="N32" i="1"/>
  <c r="U33" i="1" l="1"/>
  <c r="T31" i="1"/>
  <c r="T32" i="1"/>
  <c r="S33" i="1"/>
  <c r="T15" i="1"/>
  <c r="T23" i="1"/>
  <c r="T16" i="1"/>
  <c r="T24" i="1"/>
  <c r="T17" i="1"/>
  <c r="T25" i="1"/>
  <c r="T33" i="1"/>
  <c r="T18" i="1"/>
  <c r="T26" i="1"/>
  <c r="T10" i="1"/>
  <c r="T11" i="1"/>
  <c r="T19" i="1"/>
  <c r="T27" i="1"/>
  <c r="T13" i="1"/>
  <c r="T14" i="1"/>
  <c r="T30" i="1"/>
  <c r="T12" i="1"/>
  <c r="T20" i="1"/>
  <c r="T28" i="1"/>
  <c r="T9" i="1"/>
  <c r="T21" i="1"/>
  <c r="T29" i="1"/>
  <c r="T22" i="1"/>
  <c r="I33" i="1"/>
  <c r="K34" i="1"/>
  <c r="H33" i="1"/>
  <c r="K33" i="1"/>
  <c r="Q33" i="1"/>
  <c r="O33" i="1"/>
  <c r="P33" i="1"/>
  <c r="R33" i="1"/>
  <c r="L33" i="1"/>
  <c r="F33" i="1"/>
  <c r="M33" i="1"/>
  <c r="J33" i="1"/>
  <c r="N33" i="1"/>
  <c r="G33" i="1"/>
  <c r="U20" i="1" l="1"/>
  <c r="U16" i="1"/>
  <c r="U25" i="1"/>
  <c r="U17" i="1"/>
  <c r="U26" i="1"/>
  <c r="U34" i="1"/>
  <c r="U18" i="1"/>
  <c r="U27" i="1"/>
  <c r="U19" i="1"/>
  <c r="U12" i="1"/>
  <c r="U22" i="1"/>
  <c r="U14" i="1"/>
  <c r="U23" i="1"/>
  <c r="U24" i="1"/>
  <c r="C35" i="1"/>
  <c r="E35" i="1" s="1"/>
  <c r="U21" i="1"/>
  <c r="U13" i="1"/>
  <c r="U15" i="1"/>
  <c r="U11" i="1"/>
  <c r="U28" i="1"/>
  <c r="U10" i="1"/>
  <c r="U29" i="1"/>
  <c r="U30" i="1"/>
  <c r="U31" i="1"/>
  <c r="U32" i="1"/>
  <c r="L34" i="1"/>
  <c r="F34" i="1"/>
  <c r="P34" i="1"/>
  <c r="H34" i="1"/>
  <c r="Q34" i="1"/>
  <c r="M34" i="1"/>
  <c r="N34" i="1"/>
  <c r="S34" i="1"/>
  <c r="T34" i="1"/>
  <c r="R34" i="1"/>
  <c r="G34" i="1"/>
  <c r="I34" i="1"/>
  <c r="J34" i="1"/>
  <c r="O34" i="1"/>
  <c r="V15" i="1" l="1"/>
  <c r="V19" i="1"/>
  <c r="V25" i="1"/>
  <c r="V13" i="1"/>
  <c r="V17" i="1"/>
  <c r="V22" i="1"/>
  <c r="U35" i="1"/>
  <c r="V23" i="1"/>
  <c r="V14" i="1"/>
  <c r="V26" i="1"/>
  <c r="V18" i="1"/>
  <c r="V35" i="1"/>
  <c r="V12" i="1"/>
  <c r="V21" i="1"/>
  <c r="V20" i="1"/>
  <c r="V24" i="1"/>
  <c r="V27" i="1"/>
  <c r="V16" i="1"/>
  <c r="V11" i="1"/>
  <c r="V28" i="1"/>
  <c r="V10" i="1"/>
  <c r="V9" i="1"/>
  <c r="V29" i="1"/>
  <c r="V30" i="1"/>
  <c r="V31" i="1"/>
  <c r="V32" i="1"/>
  <c r="V33" i="1"/>
  <c r="V34" i="1"/>
  <c r="I35" i="1"/>
  <c r="J35" i="1"/>
  <c r="G35" i="1"/>
  <c r="H35" i="1"/>
  <c r="P35" i="1"/>
  <c r="N35" i="1"/>
  <c r="M35" i="1"/>
  <c r="L35" i="1"/>
  <c r="S35" i="1"/>
  <c r="T35" i="1"/>
  <c r="R35" i="1"/>
  <c r="K35" i="1"/>
  <c r="F35" i="1"/>
  <c r="Q35" i="1"/>
  <c r="C36" i="1"/>
  <c r="E36" i="1" s="1"/>
  <c r="T36" i="1" l="1"/>
  <c r="V36" i="1"/>
  <c r="U36" i="1"/>
  <c r="N36" i="1"/>
  <c r="Q36" i="1"/>
  <c r="H36" i="1"/>
  <c r="J36" i="1"/>
  <c r="P36" i="1"/>
  <c r="C37" i="1"/>
  <c r="E37" i="1" s="1"/>
  <c r="K36" i="1"/>
  <c r="S36" i="1"/>
  <c r="M36" i="1"/>
  <c r="L36" i="1"/>
  <c r="I36" i="1"/>
  <c r="G36" i="1"/>
  <c r="R36" i="1"/>
  <c r="F36" i="1"/>
  <c r="O36" i="1"/>
  <c r="U37" i="1" l="1"/>
  <c r="V37" i="1"/>
  <c r="F37" i="1"/>
  <c r="G37" i="1"/>
  <c r="J37" i="1"/>
  <c r="S37" i="1"/>
  <c r="T37" i="1"/>
  <c r="H37" i="1"/>
  <c r="M37" i="1"/>
  <c r="R37" i="1"/>
  <c r="C38" i="1"/>
  <c r="E38" i="1" s="1"/>
  <c r="L37" i="1"/>
  <c r="K37" i="1"/>
  <c r="Q37" i="1"/>
  <c r="O37" i="1"/>
  <c r="N37" i="1"/>
  <c r="P37" i="1"/>
  <c r="I37" i="1"/>
  <c r="R38" i="1" l="1"/>
  <c r="N38" i="1"/>
  <c r="H38" i="1"/>
  <c r="G38" i="1"/>
  <c r="Q38" i="1"/>
  <c r="O38" i="1"/>
  <c r="C39" i="1"/>
  <c r="E39" i="1" s="1"/>
  <c r="U38" i="1"/>
  <c r="V38" i="1"/>
  <c r="K38" i="1"/>
  <c r="M38" i="1"/>
  <c r="P38" i="1"/>
  <c r="L38" i="1"/>
  <c r="J38" i="1"/>
  <c r="I38" i="1"/>
  <c r="S38" i="1"/>
  <c r="T38" i="1"/>
  <c r="F38" i="1"/>
  <c r="I39" i="1"/>
  <c r="L39" i="1"/>
  <c r="N39" i="1"/>
  <c r="H39" i="1"/>
  <c r="F39" i="1" l="1"/>
  <c r="M39" i="1"/>
  <c r="K39" i="1"/>
  <c r="G39" i="1"/>
  <c r="C40" i="1"/>
  <c r="E40" i="1" s="1"/>
  <c r="J39" i="1"/>
  <c r="R39" i="1"/>
  <c r="P39" i="1"/>
  <c r="O39" i="1"/>
  <c r="Q39" i="1"/>
  <c r="T39" i="1"/>
  <c r="S39" i="1"/>
  <c r="U40" i="1"/>
  <c r="U39" i="1"/>
  <c r="V39" i="1"/>
  <c r="S40" i="1"/>
  <c r="T40" i="1"/>
  <c r="M40" i="1"/>
  <c r="I40" i="1"/>
  <c r="F40" i="1"/>
  <c r="L40" i="1" l="1"/>
  <c r="O40" i="1"/>
  <c r="Q40" i="1"/>
  <c r="R40" i="1"/>
  <c r="G40" i="1"/>
  <c r="V40" i="1"/>
  <c r="C41" i="1"/>
  <c r="E41" i="1" s="1"/>
  <c r="J40" i="1"/>
  <c r="N40" i="1"/>
  <c r="K40" i="1"/>
  <c r="H40" i="1"/>
  <c r="P40" i="1"/>
  <c r="V41" i="1"/>
  <c r="U41" i="1"/>
  <c r="S41" i="1"/>
  <c r="T41" i="1"/>
  <c r="P41" i="1"/>
  <c r="O41" i="1"/>
  <c r="Q41" i="1"/>
  <c r="H41" i="1"/>
  <c r="K41" i="1"/>
  <c r="N41" i="1"/>
  <c r="L41" i="1"/>
  <c r="C42" i="1" l="1"/>
  <c r="E42" i="1" s="1"/>
  <c r="M41" i="1"/>
  <c r="J41" i="1"/>
  <c r="G41" i="1"/>
  <c r="R41" i="1"/>
  <c r="I41" i="1"/>
  <c r="F41" i="1"/>
  <c r="L42" i="1" l="1"/>
  <c r="O42" i="1"/>
  <c r="P42" i="1"/>
  <c r="T42" i="1"/>
  <c r="V42" i="1"/>
  <c r="I42" i="1"/>
  <c r="U42" i="1"/>
  <c r="Q42" i="1"/>
  <c r="J42" i="1"/>
  <c r="M42" i="1"/>
  <c r="K42" i="1"/>
  <c r="N42" i="1"/>
  <c r="R42" i="1"/>
  <c r="C43" i="1"/>
  <c r="E43" i="1" s="1"/>
  <c r="S42" i="1"/>
  <c r="F42" i="1"/>
  <c r="G42" i="1"/>
  <c r="H42" i="1"/>
  <c r="L43" i="1"/>
  <c r="K43" i="1"/>
  <c r="O43" i="1"/>
  <c r="Q43" i="1"/>
  <c r="M43" i="1" l="1"/>
  <c r="F43" i="1"/>
  <c r="N43" i="1"/>
  <c r="G43" i="1"/>
  <c r="C44" i="1"/>
  <c r="E44" i="1" s="1"/>
  <c r="H43" i="1"/>
  <c r="I43" i="1"/>
  <c r="J43" i="1"/>
  <c r="T43" i="1"/>
  <c r="S43" i="1"/>
  <c r="R43" i="1"/>
  <c r="U43" i="1"/>
  <c r="P43" i="1"/>
  <c r="V43" i="1"/>
  <c r="V44" i="1"/>
  <c r="U44" i="1"/>
  <c r="S44" i="1"/>
  <c r="T44" i="1"/>
  <c r="G44" i="1"/>
  <c r="K44" i="1"/>
  <c r="L44" i="1"/>
  <c r="H44" i="1"/>
  <c r="F44" i="1"/>
  <c r="J44" i="1"/>
  <c r="Q44" i="1"/>
  <c r="O44" i="1"/>
  <c r="M44" i="1"/>
  <c r="R44" i="1"/>
  <c r="I44" i="1"/>
  <c r="C45" i="1" l="1"/>
  <c r="E45" i="1" s="1"/>
  <c r="N44" i="1"/>
  <c r="P44" i="1"/>
  <c r="U45" i="1"/>
  <c r="V45" i="1"/>
  <c r="S45" i="1"/>
  <c r="T45" i="1"/>
  <c r="H45" i="1"/>
  <c r="P45" i="1"/>
  <c r="O45" i="1"/>
  <c r="I45" i="1"/>
  <c r="K45" i="1"/>
  <c r="C46" i="1"/>
  <c r="E46" i="1" s="1"/>
  <c r="M45" i="1"/>
  <c r="N45" i="1"/>
  <c r="R45" i="1"/>
  <c r="L45" i="1"/>
  <c r="Q45" i="1"/>
  <c r="J45" i="1"/>
  <c r="F45" i="1"/>
  <c r="G45" i="1"/>
  <c r="U46" i="1" l="1"/>
  <c r="V46" i="1"/>
  <c r="S46" i="1"/>
  <c r="T46" i="1"/>
  <c r="F46" i="1"/>
  <c r="Q46" i="1"/>
  <c r="I46" i="1"/>
  <c r="N46" i="1"/>
  <c r="M46" i="1"/>
  <c r="H46" i="1"/>
  <c r="C47" i="1"/>
  <c r="E47" i="1" s="1"/>
  <c r="O46" i="1"/>
  <c r="G46" i="1"/>
  <c r="K46" i="1"/>
  <c r="L46" i="1"/>
  <c r="R46" i="1"/>
  <c r="J46" i="1"/>
  <c r="P46" i="1"/>
  <c r="U47" i="1" l="1"/>
  <c r="V47" i="1"/>
  <c r="S47" i="1"/>
  <c r="T47" i="1"/>
  <c r="P47" i="1"/>
  <c r="I47" i="1"/>
  <c r="C48" i="1"/>
  <c r="E48" i="1" s="1"/>
  <c r="O47" i="1"/>
  <c r="F47" i="1"/>
  <c r="Q47" i="1"/>
  <c r="K47" i="1"/>
  <c r="J47" i="1"/>
  <c r="H47" i="1"/>
  <c r="N47" i="1"/>
  <c r="R47" i="1"/>
  <c r="M47" i="1"/>
  <c r="G47" i="1"/>
  <c r="L47" i="1"/>
  <c r="I48" i="1" l="1"/>
  <c r="V48" i="1"/>
  <c r="U48" i="1"/>
  <c r="F48" i="1"/>
  <c r="R48" i="1"/>
  <c r="M48" i="1"/>
  <c r="L48" i="1"/>
  <c r="K48" i="1"/>
  <c r="P48" i="1"/>
  <c r="O48" i="1"/>
  <c r="C49" i="1"/>
  <c r="E49" i="1" s="1"/>
  <c r="J48" i="1"/>
  <c r="G48" i="1"/>
  <c r="S48" i="1"/>
  <c r="T48" i="1"/>
  <c r="H48" i="1"/>
  <c r="N48" i="1"/>
  <c r="Q48" i="1"/>
  <c r="V49" i="1" l="1"/>
  <c r="U49" i="1"/>
  <c r="N49" i="1"/>
  <c r="C50" i="1"/>
  <c r="O49" i="1"/>
  <c r="F49" i="1"/>
  <c r="M49" i="1"/>
  <c r="J49" i="1"/>
  <c r="I49" i="1"/>
  <c r="Q49" i="1"/>
  <c r="G49" i="1"/>
  <c r="H49" i="1"/>
  <c r="P49" i="1"/>
  <c r="S50" i="1"/>
  <c r="T50" i="1"/>
  <c r="S49" i="1"/>
  <c r="T49" i="1"/>
  <c r="R49" i="1"/>
  <c r="L49" i="1"/>
  <c r="K49" i="1"/>
  <c r="P50" i="1"/>
  <c r="R50" i="1"/>
  <c r="O50" i="1"/>
  <c r="Q50" i="1"/>
  <c r="H50" i="1"/>
  <c r="G50" i="1"/>
  <c r="C51" i="1" l="1"/>
  <c r="E51" i="1" s="1"/>
  <c r="E50" i="1"/>
  <c r="F50" i="1"/>
  <c r="N50" i="1"/>
  <c r="U51" i="1"/>
  <c r="V51" i="1"/>
  <c r="V50" i="1"/>
  <c r="U50" i="1"/>
  <c r="M50" i="1"/>
  <c r="I50" i="1"/>
  <c r="L50" i="1"/>
  <c r="K50" i="1"/>
  <c r="J50" i="1"/>
  <c r="S51" i="1"/>
  <c r="T51" i="1"/>
  <c r="O51" i="1"/>
  <c r="Q51" i="1"/>
  <c r="C52" i="1"/>
  <c r="E52" i="1" s="1"/>
  <c r="H51" i="1"/>
  <c r="I51" i="1"/>
  <c r="J51" i="1"/>
  <c r="K51" i="1"/>
  <c r="L51" i="1"/>
  <c r="M51" i="1"/>
  <c r="F51" i="1"/>
  <c r="G51" i="1"/>
  <c r="N51" i="1"/>
  <c r="R51" i="1" l="1"/>
  <c r="P51" i="1"/>
  <c r="V52" i="1"/>
  <c r="U52" i="1"/>
  <c r="S52" i="1"/>
  <c r="T52" i="1"/>
  <c r="R52" i="1"/>
  <c r="P52" i="1"/>
  <c r="O52" i="1"/>
  <c r="Q52" i="1"/>
  <c r="C53" i="1"/>
  <c r="E53" i="1" s="1"/>
  <c r="G52" i="1"/>
  <c r="H52" i="1"/>
  <c r="I52" i="1"/>
  <c r="J52" i="1"/>
  <c r="K52" i="1"/>
  <c r="L52" i="1"/>
  <c r="F52" i="1"/>
  <c r="M52" i="1"/>
  <c r="N52" i="1"/>
  <c r="U53" i="1" l="1"/>
  <c r="V53" i="1"/>
  <c r="S53" i="1"/>
  <c r="T53" i="1"/>
  <c r="P53" i="1"/>
  <c r="R53" i="1"/>
  <c r="O53" i="1"/>
  <c r="Q53" i="1"/>
  <c r="C54" i="1"/>
  <c r="E54" i="1" s="1"/>
  <c r="F53" i="1"/>
  <c r="G53" i="1"/>
  <c r="H53" i="1"/>
  <c r="I53" i="1"/>
  <c r="J53" i="1"/>
  <c r="K53" i="1"/>
  <c r="N53" i="1"/>
  <c r="L53" i="1"/>
  <c r="M53" i="1"/>
  <c r="U54" i="1" l="1"/>
  <c r="V54" i="1"/>
  <c r="S54" i="1"/>
  <c r="T54" i="1"/>
  <c r="R54" i="1"/>
  <c r="Q54" i="1"/>
  <c r="P54" i="1"/>
  <c r="O54" i="1"/>
  <c r="C55" i="1"/>
  <c r="E55" i="1" s="1"/>
  <c r="F54" i="1"/>
  <c r="G54" i="1"/>
  <c r="J54" i="1"/>
  <c r="H54" i="1"/>
  <c r="I54" i="1"/>
  <c r="M54" i="1"/>
  <c r="N54" i="1"/>
  <c r="K54" i="1"/>
  <c r="L54" i="1"/>
  <c r="U55" i="1" l="1"/>
  <c r="V55" i="1"/>
  <c r="S55" i="1"/>
  <c r="T55" i="1"/>
  <c r="Q55" i="1"/>
  <c r="P55" i="1"/>
  <c r="R55" i="1"/>
  <c r="O55" i="1"/>
  <c r="C56" i="1"/>
  <c r="E56" i="1" s="1"/>
  <c r="F55" i="1"/>
  <c r="G55" i="1"/>
  <c r="H55" i="1"/>
  <c r="I55" i="1"/>
  <c r="L55" i="1"/>
  <c r="M55" i="1"/>
  <c r="N55" i="1"/>
  <c r="J55" i="1"/>
  <c r="K55" i="1"/>
  <c r="V56" i="1" l="1"/>
  <c r="U56" i="1"/>
  <c r="S56" i="1"/>
  <c r="T56" i="1"/>
  <c r="O56" i="1"/>
  <c r="Q56" i="1"/>
  <c r="P56" i="1"/>
  <c r="R56" i="1"/>
  <c r="C57" i="1"/>
  <c r="E57" i="1" s="1"/>
  <c r="F56" i="1"/>
  <c r="H56" i="1"/>
  <c r="G56" i="1"/>
  <c r="K56" i="1"/>
  <c r="L56" i="1"/>
  <c r="M56" i="1"/>
  <c r="I56" i="1"/>
  <c r="J56" i="1"/>
  <c r="N56" i="1"/>
  <c r="U57" i="1" l="1"/>
  <c r="V57" i="1"/>
  <c r="S57" i="1"/>
  <c r="T57" i="1"/>
  <c r="R57" i="1"/>
  <c r="O57" i="1"/>
  <c r="P57" i="1"/>
  <c r="Q57" i="1"/>
  <c r="C58" i="1"/>
  <c r="E58" i="1" s="1"/>
  <c r="N57" i="1"/>
  <c r="F57" i="1"/>
  <c r="G57" i="1"/>
  <c r="J57" i="1"/>
  <c r="K57" i="1"/>
  <c r="L57" i="1"/>
  <c r="H57" i="1"/>
  <c r="I57" i="1"/>
  <c r="M57" i="1"/>
  <c r="V58" i="1" l="1"/>
  <c r="U58" i="1"/>
  <c r="S58" i="1"/>
  <c r="T58" i="1"/>
  <c r="Q58" i="1"/>
  <c r="P58" i="1"/>
  <c r="O58" i="1"/>
  <c r="R58" i="1"/>
  <c r="C59" i="1"/>
  <c r="E59" i="1" s="1"/>
  <c r="M58" i="1"/>
  <c r="N58" i="1"/>
  <c r="I58" i="1"/>
  <c r="J58" i="1"/>
  <c r="K58" i="1"/>
  <c r="G58" i="1"/>
  <c r="L58" i="1"/>
  <c r="F58" i="1"/>
  <c r="H58" i="1"/>
  <c r="V59" i="1" l="1"/>
  <c r="U59" i="1"/>
  <c r="S59" i="1"/>
  <c r="T59" i="1"/>
  <c r="P59" i="1"/>
  <c r="Q59" i="1"/>
  <c r="R59" i="1"/>
  <c r="O59" i="1"/>
  <c r="F59" i="1"/>
  <c r="M59" i="1"/>
  <c r="N59" i="1"/>
  <c r="I59" i="1"/>
  <c r="J59" i="1"/>
  <c r="K59" i="1"/>
  <c r="H59" i="1"/>
  <c r="G59" i="1"/>
  <c r="L59" i="1"/>
  <c r="D74" i="2" l="1"/>
</calcChain>
</file>

<file path=xl/sharedStrings.xml><?xml version="1.0" encoding="utf-8"?>
<sst xmlns="http://schemas.openxmlformats.org/spreadsheetml/2006/main" count="49" uniqueCount="32">
  <si>
    <t xml:space="preserve">Indice de Precios al Consumidor,  Nacional  </t>
  </si>
  <si>
    <t>Año</t>
  </si>
  <si>
    <t xml:space="preserve">     Indice</t>
  </si>
  <si>
    <t>Inflación</t>
  </si>
  <si>
    <t>Deflactor IPC</t>
  </si>
  <si>
    <t>2018 = 100</t>
  </si>
  <si>
    <t>(%)</t>
  </si>
  <si>
    <t>2010 = 1</t>
  </si>
  <si>
    <t>2011 = 1</t>
  </si>
  <si>
    <t>2012 = 1</t>
  </si>
  <si>
    <t>2013 = 1</t>
  </si>
  <si>
    <t>2014 = 1</t>
  </si>
  <si>
    <t>2015 = 1</t>
  </si>
  <si>
    <t>2016 = 1</t>
  </si>
  <si>
    <t>2017 = 1</t>
  </si>
  <si>
    <t>2018 = 1</t>
  </si>
  <si>
    <t>2019 = 1</t>
  </si>
  <si>
    <t>2020 = 1</t>
  </si>
  <si>
    <t>2021 = 1</t>
  </si>
  <si>
    <t>2022 = 1</t>
  </si>
  <si>
    <t>2023 = 1</t>
  </si>
  <si>
    <t>2024 = 1</t>
  </si>
  <si>
    <t>2025 = 1</t>
  </si>
  <si>
    <t>2026 = 1</t>
  </si>
  <si>
    <t xml:space="preserve">Deflactor IPC </t>
  </si>
  <si>
    <t>2000=1</t>
  </si>
  <si>
    <t>Fecha</t>
  </si>
  <si>
    <t xml:space="preserve">IPC_Banrep </t>
  </si>
  <si>
    <t>IPC</t>
  </si>
  <si>
    <t>Deflactor 2024=1</t>
  </si>
  <si>
    <t>Deflactor 2025=1</t>
  </si>
  <si>
    <t xml:space="preserve">Inflación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</si>
</sst>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%"/>
    <numFmt numFmtId="166" formatCode="##,###,###,###,###,###,###,###,###,##0.00"/>
    <numFmt numFmtId="167" formatCode="0.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3"/>
      <name val="Arial"/>
      <family val="2"/>
    </font>
    <font>
      <sz val="10"/>
      <color theme="3"/>
      <name val="Arial"/>
      <family val="2"/>
    </font>
    <font>
      <sz val="10"/>
      <color indexed="17"/>
      <name val="Arial"/>
      <family val="2"/>
    </font>
    <font>
      <b/>
      <sz val="10"/>
      <color theme="3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Helvetica"/>
      <family val="2"/>
    </font>
    <font>
      <b/>
      <sz val="10"/>
      <color theme="0"/>
      <name val="Helvetic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/>
    <xf numFmtId="0" fontId="4" fillId="0" borderId="0" xfId="1" applyFont="1"/>
    <xf numFmtId="0" fontId="5" fillId="0" borderId="1" xfId="1" applyFont="1" applyBorder="1"/>
    <xf numFmtId="0" fontId="5" fillId="0" borderId="2" xfId="1" applyFont="1" applyBorder="1"/>
    <xf numFmtId="0" fontId="6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3" xfId="1" applyFont="1" applyBorder="1"/>
    <xf numFmtId="0" fontId="5" fillId="0" borderId="6" xfId="1" applyFont="1" applyBorder="1"/>
    <xf numFmtId="0" fontId="3" fillId="0" borderId="7" xfId="1" applyFont="1" applyBorder="1"/>
    <xf numFmtId="0" fontId="7" fillId="0" borderId="8" xfId="1" applyFont="1" applyBorder="1" applyAlignment="1">
      <alignment horizontal="center"/>
    </xf>
    <xf numFmtId="0" fontId="3" fillId="0" borderId="8" xfId="1" applyFont="1" applyBorder="1"/>
    <xf numFmtId="0" fontId="7" fillId="0" borderId="0" xfId="1" applyFont="1" applyAlignment="1">
      <alignment horizontal="center"/>
    </xf>
    <xf numFmtId="1" fontId="3" fillId="0" borderId="0" xfId="1" applyNumberFormat="1" applyFont="1" applyAlignment="1">
      <alignment horizontal="center"/>
    </xf>
    <xf numFmtId="2" fontId="3" fillId="0" borderId="0" xfId="1" applyNumberFormat="1" applyFont="1" applyAlignment="1">
      <alignment horizontal="center"/>
    </xf>
    <xf numFmtId="10" fontId="3" fillId="0" borderId="0" xfId="2" applyNumberFormat="1" applyFont="1" applyBorder="1" applyAlignment="1">
      <alignment horizontal="center"/>
    </xf>
    <xf numFmtId="164" fontId="3" fillId="0" borderId="0" xfId="1" applyNumberFormat="1" applyFont="1" applyAlignment="1">
      <alignment horizontal="center"/>
    </xf>
    <xf numFmtId="164" fontId="7" fillId="0" borderId="0" xfId="1" applyNumberFormat="1" applyFont="1" applyAlignment="1">
      <alignment horizontal="center"/>
    </xf>
    <xf numFmtId="10" fontId="7" fillId="0" borderId="0" xfId="2" applyNumberFormat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1" fillId="0" borderId="0" xfId="1" applyAlignment="1">
      <alignment horizontal="center"/>
    </xf>
    <xf numFmtId="0" fontId="5" fillId="0" borderId="4" xfId="1" applyFont="1" applyBorder="1" applyAlignment="1">
      <alignment horizontal="center"/>
    </xf>
    <xf numFmtId="2" fontId="1" fillId="0" borderId="0" xfId="1" applyNumberFormat="1"/>
    <xf numFmtId="0" fontId="5" fillId="0" borderId="9" xfId="1" applyFont="1" applyBorder="1"/>
    <xf numFmtId="0" fontId="3" fillId="0" borderId="7" xfId="1" applyFont="1" applyBorder="1" applyAlignment="1">
      <alignment horizontal="center"/>
    </xf>
    <xf numFmtId="165" fontId="1" fillId="0" borderId="0" xfId="3" applyNumberFormat="1" applyFont="1"/>
    <xf numFmtId="0" fontId="0" fillId="2" borderId="0" xfId="0" applyFill="1"/>
    <xf numFmtId="166" fontId="0" fillId="2" borderId="0" xfId="0" applyNumberFormat="1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166" fontId="0" fillId="4" borderId="0" xfId="0" applyNumberFormat="1" applyFill="1" applyAlignment="1">
      <alignment horizontal="center" vertical="center"/>
    </xf>
    <xf numFmtId="2" fontId="0" fillId="2" borderId="0" xfId="0" applyNumberFormat="1" applyFill="1"/>
    <xf numFmtId="14" fontId="0" fillId="2" borderId="0" xfId="0" applyNumberForma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2" fontId="0" fillId="4" borderId="0" xfId="0" applyNumberFormat="1" applyFill="1"/>
    <xf numFmtId="10" fontId="12" fillId="0" borderId="0" xfId="2" applyNumberFormat="1" applyFont="1" applyBorder="1" applyAlignment="1">
      <alignment horizontal="center"/>
    </xf>
    <xf numFmtId="167" fontId="0" fillId="2" borderId="0" xfId="0" applyNumberFormat="1" applyFill="1"/>
  </cellXfs>
  <cellStyles count="4">
    <cellStyle name="Normal" xfId="0" builtinId="0"/>
    <cellStyle name="Normal 3" xfId="1" xr:uid="{00000000-0005-0000-0000-000001000000}"/>
    <cellStyle name="Porcentaje" xfId="3" builtinId="5"/>
    <cellStyle name="Porcentaj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60"/>
  <sheetViews>
    <sheetView workbookViewId="0">
      <pane xSplit="2" ySplit="7" topLeftCell="O22" activePane="bottomRight" state="frozen"/>
      <selection pane="topRight" activeCell="C1" sqref="C1"/>
      <selection pane="bottomLeft" activeCell="A8" sqref="A8"/>
      <selection pane="bottomRight" activeCell="V28" sqref="V24:V28"/>
    </sheetView>
  </sheetViews>
  <sheetFormatPr baseColWidth="10" defaultColWidth="11.453125" defaultRowHeight="12.5" x14ac:dyDescent="0.25"/>
  <cols>
    <col min="1" max="1" width="12.453125" style="3" bestFit="1" customWidth="1"/>
    <col min="2" max="2" width="18.453125" style="3" customWidth="1"/>
    <col min="3" max="3" width="16.1796875" style="3" customWidth="1"/>
    <col min="4" max="11" width="13.81640625" style="3" customWidth="1"/>
    <col min="12" max="12" width="15.453125" style="3" customWidth="1"/>
    <col min="13" max="13" width="17" style="3" customWidth="1"/>
    <col min="14" max="15" width="18.81640625" style="3" customWidth="1"/>
    <col min="16" max="16" width="19.1796875" style="3" customWidth="1"/>
    <col min="17" max="17" width="19.1796875" style="23" customWidth="1"/>
    <col min="18" max="18" width="12.81640625" style="3" bestFit="1" customWidth="1"/>
    <col min="19" max="20" width="11.453125" style="3"/>
    <col min="21" max="22" width="12" style="3" bestFit="1" customWidth="1"/>
    <col min="23" max="263" width="11.453125" style="3"/>
    <col min="264" max="264" width="18.453125" style="3" customWidth="1"/>
    <col min="265" max="265" width="16.1796875" style="3" customWidth="1"/>
    <col min="266" max="266" width="13.81640625" style="3" customWidth="1"/>
    <col min="267" max="267" width="15.453125" style="3" customWidth="1"/>
    <col min="268" max="268" width="17" style="3" customWidth="1"/>
    <col min="269" max="269" width="18.81640625" style="3" customWidth="1"/>
    <col min="270" max="270" width="12.453125" style="3" customWidth="1"/>
    <col min="271" max="519" width="11.453125" style="3"/>
    <col min="520" max="520" width="18.453125" style="3" customWidth="1"/>
    <col min="521" max="521" width="16.1796875" style="3" customWidth="1"/>
    <col min="522" max="522" width="13.81640625" style="3" customWidth="1"/>
    <col min="523" max="523" width="15.453125" style="3" customWidth="1"/>
    <col min="524" max="524" width="17" style="3" customWidth="1"/>
    <col min="525" max="525" width="18.81640625" style="3" customWidth="1"/>
    <col min="526" max="526" width="12.453125" style="3" customWidth="1"/>
    <col min="527" max="775" width="11.453125" style="3"/>
    <col min="776" max="776" width="18.453125" style="3" customWidth="1"/>
    <col min="777" max="777" width="16.1796875" style="3" customWidth="1"/>
    <col min="778" max="778" width="13.81640625" style="3" customWidth="1"/>
    <col min="779" max="779" width="15.453125" style="3" customWidth="1"/>
    <col min="780" max="780" width="17" style="3" customWidth="1"/>
    <col min="781" max="781" width="18.81640625" style="3" customWidth="1"/>
    <col min="782" max="782" width="12.453125" style="3" customWidth="1"/>
    <col min="783" max="1031" width="11.453125" style="3"/>
    <col min="1032" max="1032" width="18.453125" style="3" customWidth="1"/>
    <col min="1033" max="1033" width="16.1796875" style="3" customWidth="1"/>
    <col min="1034" max="1034" width="13.81640625" style="3" customWidth="1"/>
    <col min="1035" max="1035" width="15.453125" style="3" customWidth="1"/>
    <col min="1036" max="1036" width="17" style="3" customWidth="1"/>
    <col min="1037" max="1037" width="18.81640625" style="3" customWidth="1"/>
    <col min="1038" max="1038" width="12.453125" style="3" customWidth="1"/>
    <col min="1039" max="1287" width="11.453125" style="3"/>
    <col min="1288" max="1288" width="18.453125" style="3" customWidth="1"/>
    <col min="1289" max="1289" width="16.1796875" style="3" customWidth="1"/>
    <col min="1290" max="1290" width="13.81640625" style="3" customWidth="1"/>
    <col min="1291" max="1291" width="15.453125" style="3" customWidth="1"/>
    <col min="1292" max="1292" width="17" style="3" customWidth="1"/>
    <col min="1293" max="1293" width="18.81640625" style="3" customWidth="1"/>
    <col min="1294" max="1294" width="12.453125" style="3" customWidth="1"/>
    <col min="1295" max="1543" width="11.453125" style="3"/>
    <col min="1544" max="1544" width="18.453125" style="3" customWidth="1"/>
    <col min="1545" max="1545" width="16.1796875" style="3" customWidth="1"/>
    <col min="1546" max="1546" width="13.81640625" style="3" customWidth="1"/>
    <col min="1547" max="1547" width="15.453125" style="3" customWidth="1"/>
    <col min="1548" max="1548" width="17" style="3" customWidth="1"/>
    <col min="1549" max="1549" width="18.81640625" style="3" customWidth="1"/>
    <col min="1550" max="1550" width="12.453125" style="3" customWidth="1"/>
    <col min="1551" max="1799" width="11.453125" style="3"/>
    <col min="1800" max="1800" width="18.453125" style="3" customWidth="1"/>
    <col min="1801" max="1801" width="16.1796875" style="3" customWidth="1"/>
    <col min="1802" max="1802" width="13.81640625" style="3" customWidth="1"/>
    <col min="1803" max="1803" width="15.453125" style="3" customWidth="1"/>
    <col min="1804" max="1804" width="17" style="3" customWidth="1"/>
    <col min="1805" max="1805" width="18.81640625" style="3" customWidth="1"/>
    <col min="1806" max="1806" width="12.453125" style="3" customWidth="1"/>
    <col min="1807" max="2055" width="11.453125" style="3"/>
    <col min="2056" max="2056" width="18.453125" style="3" customWidth="1"/>
    <col min="2057" max="2057" width="16.1796875" style="3" customWidth="1"/>
    <col min="2058" max="2058" width="13.81640625" style="3" customWidth="1"/>
    <col min="2059" max="2059" width="15.453125" style="3" customWidth="1"/>
    <col min="2060" max="2060" width="17" style="3" customWidth="1"/>
    <col min="2061" max="2061" width="18.81640625" style="3" customWidth="1"/>
    <col min="2062" max="2062" width="12.453125" style="3" customWidth="1"/>
    <col min="2063" max="2311" width="11.453125" style="3"/>
    <col min="2312" max="2312" width="18.453125" style="3" customWidth="1"/>
    <col min="2313" max="2313" width="16.1796875" style="3" customWidth="1"/>
    <col min="2314" max="2314" width="13.81640625" style="3" customWidth="1"/>
    <col min="2315" max="2315" width="15.453125" style="3" customWidth="1"/>
    <col min="2316" max="2316" width="17" style="3" customWidth="1"/>
    <col min="2317" max="2317" width="18.81640625" style="3" customWidth="1"/>
    <col min="2318" max="2318" width="12.453125" style="3" customWidth="1"/>
    <col min="2319" max="2567" width="11.453125" style="3"/>
    <col min="2568" max="2568" width="18.453125" style="3" customWidth="1"/>
    <col min="2569" max="2569" width="16.1796875" style="3" customWidth="1"/>
    <col min="2570" max="2570" width="13.81640625" style="3" customWidth="1"/>
    <col min="2571" max="2571" width="15.453125" style="3" customWidth="1"/>
    <col min="2572" max="2572" width="17" style="3" customWidth="1"/>
    <col min="2573" max="2573" width="18.81640625" style="3" customWidth="1"/>
    <col min="2574" max="2574" width="12.453125" style="3" customWidth="1"/>
    <col min="2575" max="2823" width="11.453125" style="3"/>
    <col min="2824" max="2824" width="18.453125" style="3" customWidth="1"/>
    <col min="2825" max="2825" width="16.1796875" style="3" customWidth="1"/>
    <col min="2826" max="2826" width="13.81640625" style="3" customWidth="1"/>
    <col min="2827" max="2827" width="15.453125" style="3" customWidth="1"/>
    <col min="2828" max="2828" width="17" style="3" customWidth="1"/>
    <col min="2829" max="2829" width="18.81640625" style="3" customWidth="1"/>
    <col min="2830" max="2830" width="12.453125" style="3" customWidth="1"/>
    <col min="2831" max="3079" width="11.453125" style="3"/>
    <col min="3080" max="3080" width="18.453125" style="3" customWidth="1"/>
    <col min="3081" max="3081" width="16.1796875" style="3" customWidth="1"/>
    <col min="3082" max="3082" width="13.81640625" style="3" customWidth="1"/>
    <col min="3083" max="3083" width="15.453125" style="3" customWidth="1"/>
    <col min="3084" max="3084" width="17" style="3" customWidth="1"/>
    <col min="3085" max="3085" width="18.81640625" style="3" customWidth="1"/>
    <col min="3086" max="3086" width="12.453125" style="3" customWidth="1"/>
    <col min="3087" max="3335" width="11.453125" style="3"/>
    <col min="3336" max="3336" width="18.453125" style="3" customWidth="1"/>
    <col min="3337" max="3337" width="16.1796875" style="3" customWidth="1"/>
    <col min="3338" max="3338" width="13.81640625" style="3" customWidth="1"/>
    <col min="3339" max="3339" width="15.453125" style="3" customWidth="1"/>
    <col min="3340" max="3340" width="17" style="3" customWidth="1"/>
    <col min="3341" max="3341" width="18.81640625" style="3" customWidth="1"/>
    <col min="3342" max="3342" width="12.453125" style="3" customWidth="1"/>
    <col min="3343" max="3591" width="11.453125" style="3"/>
    <col min="3592" max="3592" width="18.453125" style="3" customWidth="1"/>
    <col min="3593" max="3593" width="16.1796875" style="3" customWidth="1"/>
    <col min="3594" max="3594" width="13.81640625" style="3" customWidth="1"/>
    <col min="3595" max="3595" width="15.453125" style="3" customWidth="1"/>
    <col min="3596" max="3596" width="17" style="3" customWidth="1"/>
    <col min="3597" max="3597" width="18.81640625" style="3" customWidth="1"/>
    <col min="3598" max="3598" width="12.453125" style="3" customWidth="1"/>
    <col min="3599" max="3847" width="11.453125" style="3"/>
    <col min="3848" max="3848" width="18.453125" style="3" customWidth="1"/>
    <col min="3849" max="3849" width="16.1796875" style="3" customWidth="1"/>
    <col min="3850" max="3850" width="13.81640625" style="3" customWidth="1"/>
    <col min="3851" max="3851" width="15.453125" style="3" customWidth="1"/>
    <col min="3852" max="3852" width="17" style="3" customWidth="1"/>
    <col min="3853" max="3853" width="18.81640625" style="3" customWidth="1"/>
    <col min="3854" max="3854" width="12.453125" style="3" customWidth="1"/>
    <col min="3855" max="4103" width="11.453125" style="3"/>
    <col min="4104" max="4104" width="18.453125" style="3" customWidth="1"/>
    <col min="4105" max="4105" width="16.1796875" style="3" customWidth="1"/>
    <col min="4106" max="4106" width="13.81640625" style="3" customWidth="1"/>
    <col min="4107" max="4107" width="15.453125" style="3" customWidth="1"/>
    <col min="4108" max="4108" width="17" style="3" customWidth="1"/>
    <col min="4109" max="4109" width="18.81640625" style="3" customWidth="1"/>
    <col min="4110" max="4110" width="12.453125" style="3" customWidth="1"/>
    <col min="4111" max="4359" width="11.453125" style="3"/>
    <col min="4360" max="4360" width="18.453125" style="3" customWidth="1"/>
    <col min="4361" max="4361" width="16.1796875" style="3" customWidth="1"/>
    <col min="4362" max="4362" width="13.81640625" style="3" customWidth="1"/>
    <col min="4363" max="4363" width="15.453125" style="3" customWidth="1"/>
    <col min="4364" max="4364" width="17" style="3" customWidth="1"/>
    <col min="4365" max="4365" width="18.81640625" style="3" customWidth="1"/>
    <col min="4366" max="4366" width="12.453125" style="3" customWidth="1"/>
    <col min="4367" max="4615" width="11.453125" style="3"/>
    <col min="4616" max="4616" width="18.453125" style="3" customWidth="1"/>
    <col min="4617" max="4617" width="16.1796875" style="3" customWidth="1"/>
    <col min="4618" max="4618" width="13.81640625" style="3" customWidth="1"/>
    <col min="4619" max="4619" width="15.453125" style="3" customWidth="1"/>
    <col min="4620" max="4620" width="17" style="3" customWidth="1"/>
    <col min="4621" max="4621" width="18.81640625" style="3" customWidth="1"/>
    <col min="4622" max="4622" width="12.453125" style="3" customWidth="1"/>
    <col min="4623" max="4871" width="11.453125" style="3"/>
    <col min="4872" max="4872" width="18.453125" style="3" customWidth="1"/>
    <col min="4873" max="4873" width="16.1796875" style="3" customWidth="1"/>
    <col min="4874" max="4874" width="13.81640625" style="3" customWidth="1"/>
    <col min="4875" max="4875" width="15.453125" style="3" customWidth="1"/>
    <col min="4876" max="4876" width="17" style="3" customWidth="1"/>
    <col min="4877" max="4877" width="18.81640625" style="3" customWidth="1"/>
    <col min="4878" max="4878" width="12.453125" style="3" customWidth="1"/>
    <col min="4879" max="5127" width="11.453125" style="3"/>
    <col min="5128" max="5128" width="18.453125" style="3" customWidth="1"/>
    <col min="5129" max="5129" width="16.1796875" style="3" customWidth="1"/>
    <col min="5130" max="5130" width="13.81640625" style="3" customWidth="1"/>
    <col min="5131" max="5131" width="15.453125" style="3" customWidth="1"/>
    <col min="5132" max="5132" width="17" style="3" customWidth="1"/>
    <col min="5133" max="5133" width="18.81640625" style="3" customWidth="1"/>
    <col min="5134" max="5134" width="12.453125" style="3" customWidth="1"/>
    <col min="5135" max="5383" width="11.453125" style="3"/>
    <col min="5384" max="5384" width="18.453125" style="3" customWidth="1"/>
    <col min="5385" max="5385" width="16.1796875" style="3" customWidth="1"/>
    <col min="5386" max="5386" width="13.81640625" style="3" customWidth="1"/>
    <col min="5387" max="5387" width="15.453125" style="3" customWidth="1"/>
    <col min="5388" max="5388" width="17" style="3" customWidth="1"/>
    <col min="5389" max="5389" width="18.81640625" style="3" customWidth="1"/>
    <col min="5390" max="5390" width="12.453125" style="3" customWidth="1"/>
    <col min="5391" max="5639" width="11.453125" style="3"/>
    <col min="5640" max="5640" width="18.453125" style="3" customWidth="1"/>
    <col min="5641" max="5641" width="16.1796875" style="3" customWidth="1"/>
    <col min="5642" max="5642" width="13.81640625" style="3" customWidth="1"/>
    <col min="5643" max="5643" width="15.453125" style="3" customWidth="1"/>
    <col min="5644" max="5644" width="17" style="3" customWidth="1"/>
    <col min="5645" max="5645" width="18.81640625" style="3" customWidth="1"/>
    <col min="5646" max="5646" width="12.453125" style="3" customWidth="1"/>
    <col min="5647" max="5895" width="11.453125" style="3"/>
    <col min="5896" max="5896" width="18.453125" style="3" customWidth="1"/>
    <col min="5897" max="5897" width="16.1796875" style="3" customWidth="1"/>
    <col min="5898" max="5898" width="13.81640625" style="3" customWidth="1"/>
    <col min="5899" max="5899" width="15.453125" style="3" customWidth="1"/>
    <col min="5900" max="5900" width="17" style="3" customWidth="1"/>
    <col min="5901" max="5901" width="18.81640625" style="3" customWidth="1"/>
    <col min="5902" max="5902" width="12.453125" style="3" customWidth="1"/>
    <col min="5903" max="6151" width="11.453125" style="3"/>
    <col min="6152" max="6152" width="18.453125" style="3" customWidth="1"/>
    <col min="6153" max="6153" width="16.1796875" style="3" customWidth="1"/>
    <col min="6154" max="6154" width="13.81640625" style="3" customWidth="1"/>
    <col min="6155" max="6155" width="15.453125" style="3" customWidth="1"/>
    <col min="6156" max="6156" width="17" style="3" customWidth="1"/>
    <col min="6157" max="6157" width="18.81640625" style="3" customWidth="1"/>
    <col min="6158" max="6158" width="12.453125" style="3" customWidth="1"/>
    <col min="6159" max="6407" width="11.453125" style="3"/>
    <col min="6408" max="6408" width="18.453125" style="3" customWidth="1"/>
    <col min="6409" max="6409" width="16.1796875" style="3" customWidth="1"/>
    <col min="6410" max="6410" width="13.81640625" style="3" customWidth="1"/>
    <col min="6411" max="6411" width="15.453125" style="3" customWidth="1"/>
    <col min="6412" max="6412" width="17" style="3" customWidth="1"/>
    <col min="6413" max="6413" width="18.81640625" style="3" customWidth="1"/>
    <col min="6414" max="6414" width="12.453125" style="3" customWidth="1"/>
    <col min="6415" max="6663" width="11.453125" style="3"/>
    <col min="6664" max="6664" width="18.453125" style="3" customWidth="1"/>
    <col min="6665" max="6665" width="16.1796875" style="3" customWidth="1"/>
    <col min="6666" max="6666" width="13.81640625" style="3" customWidth="1"/>
    <col min="6667" max="6667" width="15.453125" style="3" customWidth="1"/>
    <col min="6668" max="6668" width="17" style="3" customWidth="1"/>
    <col min="6669" max="6669" width="18.81640625" style="3" customWidth="1"/>
    <col min="6670" max="6670" width="12.453125" style="3" customWidth="1"/>
    <col min="6671" max="6919" width="11.453125" style="3"/>
    <col min="6920" max="6920" width="18.453125" style="3" customWidth="1"/>
    <col min="6921" max="6921" width="16.1796875" style="3" customWidth="1"/>
    <col min="6922" max="6922" width="13.81640625" style="3" customWidth="1"/>
    <col min="6923" max="6923" width="15.453125" style="3" customWidth="1"/>
    <col min="6924" max="6924" width="17" style="3" customWidth="1"/>
    <col min="6925" max="6925" width="18.81640625" style="3" customWidth="1"/>
    <col min="6926" max="6926" width="12.453125" style="3" customWidth="1"/>
    <col min="6927" max="7175" width="11.453125" style="3"/>
    <col min="7176" max="7176" width="18.453125" style="3" customWidth="1"/>
    <col min="7177" max="7177" width="16.1796875" style="3" customWidth="1"/>
    <col min="7178" max="7178" width="13.81640625" style="3" customWidth="1"/>
    <col min="7179" max="7179" width="15.453125" style="3" customWidth="1"/>
    <col min="7180" max="7180" width="17" style="3" customWidth="1"/>
    <col min="7181" max="7181" width="18.81640625" style="3" customWidth="1"/>
    <col min="7182" max="7182" width="12.453125" style="3" customWidth="1"/>
    <col min="7183" max="7431" width="11.453125" style="3"/>
    <col min="7432" max="7432" width="18.453125" style="3" customWidth="1"/>
    <col min="7433" max="7433" width="16.1796875" style="3" customWidth="1"/>
    <col min="7434" max="7434" width="13.81640625" style="3" customWidth="1"/>
    <col min="7435" max="7435" width="15.453125" style="3" customWidth="1"/>
    <col min="7436" max="7436" width="17" style="3" customWidth="1"/>
    <col min="7437" max="7437" width="18.81640625" style="3" customWidth="1"/>
    <col min="7438" max="7438" width="12.453125" style="3" customWidth="1"/>
    <col min="7439" max="7687" width="11.453125" style="3"/>
    <col min="7688" max="7688" width="18.453125" style="3" customWidth="1"/>
    <col min="7689" max="7689" width="16.1796875" style="3" customWidth="1"/>
    <col min="7690" max="7690" width="13.81640625" style="3" customWidth="1"/>
    <col min="7691" max="7691" width="15.453125" style="3" customWidth="1"/>
    <col min="7692" max="7692" width="17" style="3" customWidth="1"/>
    <col min="7693" max="7693" width="18.81640625" style="3" customWidth="1"/>
    <col min="7694" max="7694" width="12.453125" style="3" customWidth="1"/>
    <col min="7695" max="7943" width="11.453125" style="3"/>
    <col min="7944" max="7944" width="18.453125" style="3" customWidth="1"/>
    <col min="7945" max="7945" width="16.1796875" style="3" customWidth="1"/>
    <col min="7946" max="7946" width="13.81640625" style="3" customWidth="1"/>
    <col min="7947" max="7947" width="15.453125" style="3" customWidth="1"/>
    <col min="7948" max="7948" width="17" style="3" customWidth="1"/>
    <col min="7949" max="7949" width="18.81640625" style="3" customWidth="1"/>
    <col min="7950" max="7950" width="12.453125" style="3" customWidth="1"/>
    <col min="7951" max="8199" width="11.453125" style="3"/>
    <col min="8200" max="8200" width="18.453125" style="3" customWidth="1"/>
    <col min="8201" max="8201" width="16.1796875" style="3" customWidth="1"/>
    <col min="8202" max="8202" width="13.81640625" style="3" customWidth="1"/>
    <col min="8203" max="8203" width="15.453125" style="3" customWidth="1"/>
    <col min="8204" max="8204" width="17" style="3" customWidth="1"/>
    <col min="8205" max="8205" width="18.81640625" style="3" customWidth="1"/>
    <col min="8206" max="8206" width="12.453125" style="3" customWidth="1"/>
    <col min="8207" max="8455" width="11.453125" style="3"/>
    <col min="8456" max="8456" width="18.453125" style="3" customWidth="1"/>
    <col min="8457" max="8457" width="16.1796875" style="3" customWidth="1"/>
    <col min="8458" max="8458" width="13.81640625" style="3" customWidth="1"/>
    <col min="8459" max="8459" width="15.453125" style="3" customWidth="1"/>
    <col min="8460" max="8460" width="17" style="3" customWidth="1"/>
    <col min="8461" max="8461" width="18.81640625" style="3" customWidth="1"/>
    <col min="8462" max="8462" width="12.453125" style="3" customWidth="1"/>
    <col min="8463" max="8711" width="11.453125" style="3"/>
    <col min="8712" max="8712" width="18.453125" style="3" customWidth="1"/>
    <col min="8713" max="8713" width="16.1796875" style="3" customWidth="1"/>
    <col min="8714" max="8714" width="13.81640625" style="3" customWidth="1"/>
    <col min="8715" max="8715" width="15.453125" style="3" customWidth="1"/>
    <col min="8716" max="8716" width="17" style="3" customWidth="1"/>
    <col min="8717" max="8717" width="18.81640625" style="3" customWidth="1"/>
    <col min="8718" max="8718" width="12.453125" style="3" customWidth="1"/>
    <col min="8719" max="8967" width="11.453125" style="3"/>
    <col min="8968" max="8968" width="18.453125" style="3" customWidth="1"/>
    <col min="8969" max="8969" width="16.1796875" style="3" customWidth="1"/>
    <col min="8970" max="8970" width="13.81640625" style="3" customWidth="1"/>
    <col min="8971" max="8971" width="15.453125" style="3" customWidth="1"/>
    <col min="8972" max="8972" width="17" style="3" customWidth="1"/>
    <col min="8973" max="8973" width="18.81640625" style="3" customWidth="1"/>
    <col min="8974" max="8974" width="12.453125" style="3" customWidth="1"/>
    <col min="8975" max="9223" width="11.453125" style="3"/>
    <col min="9224" max="9224" width="18.453125" style="3" customWidth="1"/>
    <col min="9225" max="9225" width="16.1796875" style="3" customWidth="1"/>
    <col min="9226" max="9226" width="13.81640625" style="3" customWidth="1"/>
    <col min="9227" max="9227" width="15.453125" style="3" customWidth="1"/>
    <col min="9228" max="9228" width="17" style="3" customWidth="1"/>
    <col min="9229" max="9229" width="18.81640625" style="3" customWidth="1"/>
    <col min="9230" max="9230" width="12.453125" style="3" customWidth="1"/>
    <col min="9231" max="9479" width="11.453125" style="3"/>
    <col min="9480" max="9480" width="18.453125" style="3" customWidth="1"/>
    <col min="9481" max="9481" width="16.1796875" style="3" customWidth="1"/>
    <col min="9482" max="9482" width="13.81640625" style="3" customWidth="1"/>
    <col min="9483" max="9483" width="15.453125" style="3" customWidth="1"/>
    <col min="9484" max="9484" width="17" style="3" customWidth="1"/>
    <col min="9485" max="9485" width="18.81640625" style="3" customWidth="1"/>
    <col min="9486" max="9486" width="12.453125" style="3" customWidth="1"/>
    <col min="9487" max="9735" width="11.453125" style="3"/>
    <col min="9736" max="9736" width="18.453125" style="3" customWidth="1"/>
    <col min="9737" max="9737" width="16.1796875" style="3" customWidth="1"/>
    <col min="9738" max="9738" width="13.81640625" style="3" customWidth="1"/>
    <col min="9739" max="9739" width="15.453125" style="3" customWidth="1"/>
    <col min="9740" max="9740" width="17" style="3" customWidth="1"/>
    <col min="9741" max="9741" width="18.81640625" style="3" customWidth="1"/>
    <col min="9742" max="9742" width="12.453125" style="3" customWidth="1"/>
    <col min="9743" max="9991" width="11.453125" style="3"/>
    <col min="9992" max="9992" width="18.453125" style="3" customWidth="1"/>
    <col min="9993" max="9993" width="16.1796875" style="3" customWidth="1"/>
    <col min="9994" max="9994" width="13.81640625" style="3" customWidth="1"/>
    <col min="9995" max="9995" width="15.453125" style="3" customWidth="1"/>
    <col min="9996" max="9996" width="17" style="3" customWidth="1"/>
    <col min="9997" max="9997" width="18.81640625" style="3" customWidth="1"/>
    <col min="9998" max="9998" width="12.453125" style="3" customWidth="1"/>
    <col min="9999" max="10247" width="11.453125" style="3"/>
    <col min="10248" max="10248" width="18.453125" style="3" customWidth="1"/>
    <col min="10249" max="10249" width="16.1796875" style="3" customWidth="1"/>
    <col min="10250" max="10250" width="13.81640625" style="3" customWidth="1"/>
    <col min="10251" max="10251" width="15.453125" style="3" customWidth="1"/>
    <col min="10252" max="10252" width="17" style="3" customWidth="1"/>
    <col min="10253" max="10253" width="18.81640625" style="3" customWidth="1"/>
    <col min="10254" max="10254" width="12.453125" style="3" customWidth="1"/>
    <col min="10255" max="10503" width="11.453125" style="3"/>
    <col min="10504" max="10504" width="18.453125" style="3" customWidth="1"/>
    <col min="10505" max="10505" width="16.1796875" style="3" customWidth="1"/>
    <col min="10506" max="10506" width="13.81640625" style="3" customWidth="1"/>
    <col min="10507" max="10507" width="15.453125" style="3" customWidth="1"/>
    <col min="10508" max="10508" width="17" style="3" customWidth="1"/>
    <col min="10509" max="10509" width="18.81640625" style="3" customWidth="1"/>
    <col min="10510" max="10510" width="12.453125" style="3" customWidth="1"/>
    <col min="10511" max="10759" width="11.453125" style="3"/>
    <col min="10760" max="10760" width="18.453125" style="3" customWidth="1"/>
    <col min="10761" max="10761" width="16.1796875" style="3" customWidth="1"/>
    <col min="10762" max="10762" width="13.81640625" style="3" customWidth="1"/>
    <col min="10763" max="10763" width="15.453125" style="3" customWidth="1"/>
    <col min="10764" max="10764" width="17" style="3" customWidth="1"/>
    <col min="10765" max="10765" width="18.81640625" style="3" customWidth="1"/>
    <col min="10766" max="10766" width="12.453125" style="3" customWidth="1"/>
    <col min="10767" max="11015" width="11.453125" style="3"/>
    <col min="11016" max="11016" width="18.453125" style="3" customWidth="1"/>
    <col min="11017" max="11017" width="16.1796875" style="3" customWidth="1"/>
    <col min="11018" max="11018" width="13.81640625" style="3" customWidth="1"/>
    <col min="11019" max="11019" width="15.453125" style="3" customWidth="1"/>
    <col min="11020" max="11020" width="17" style="3" customWidth="1"/>
    <col min="11021" max="11021" width="18.81640625" style="3" customWidth="1"/>
    <col min="11022" max="11022" width="12.453125" style="3" customWidth="1"/>
    <col min="11023" max="11271" width="11.453125" style="3"/>
    <col min="11272" max="11272" width="18.453125" style="3" customWidth="1"/>
    <col min="11273" max="11273" width="16.1796875" style="3" customWidth="1"/>
    <col min="11274" max="11274" width="13.81640625" style="3" customWidth="1"/>
    <col min="11275" max="11275" width="15.453125" style="3" customWidth="1"/>
    <col min="11276" max="11276" width="17" style="3" customWidth="1"/>
    <col min="11277" max="11277" width="18.81640625" style="3" customWidth="1"/>
    <col min="11278" max="11278" width="12.453125" style="3" customWidth="1"/>
    <col min="11279" max="11527" width="11.453125" style="3"/>
    <col min="11528" max="11528" width="18.453125" style="3" customWidth="1"/>
    <col min="11529" max="11529" width="16.1796875" style="3" customWidth="1"/>
    <col min="11530" max="11530" width="13.81640625" style="3" customWidth="1"/>
    <col min="11531" max="11531" width="15.453125" style="3" customWidth="1"/>
    <col min="11532" max="11532" width="17" style="3" customWidth="1"/>
    <col min="11533" max="11533" width="18.81640625" style="3" customWidth="1"/>
    <col min="11534" max="11534" width="12.453125" style="3" customWidth="1"/>
    <col min="11535" max="11783" width="11.453125" style="3"/>
    <col min="11784" max="11784" width="18.453125" style="3" customWidth="1"/>
    <col min="11785" max="11785" width="16.1796875" style="3" customWidth="1"/>
    <col min="11786" max="11786" width="13.81640625" style="3" customWidth="1"/>
    <col min="11787" max="11787" width="15.453125" style="3" customWidth="1"/>
    <col min="11788" max="11788" width="17" style="3" customWidth="1"/>
    <col min="11789" max="11789" width="18.81640625" style="3" customWidth="1"/>
    <col min="11790" max="11790" width="12.453125" style="3" customWidth="1"/>
    <col min="11791" max="12039" width="11.453125" style="3"/>
    <col min="12040" max="12040" width="18.453125" style="3" customWidth="1"/>
    <col min="12041" max="12041" width="16.1796875" style="3" customWidth="1"/>
    <col min="12042" max="12042" width="13.81640625" style="3" customWidth="1"/>
    <col min="12043" max="12043" width="15.453125" style="3" customWidth="1"/>
    <col min="12044" max="12044" width="17" style="3" customWidth="1"/>
    <col min="12045" max="12045" width="18.81640625" style="3" customWidth="1"/>
    <col min="12046" max="12046" width="12.453125" style="3" customWidth="1"/>
    <col min="12047" max="12295" width="11.453125" style="3"/>
    <col min="12296" max="12296" width="18.453125" style="3" customWidth="1"/>
    <col min="12297" max="12297" width="16.1796875" style="3" customWidth="1"/>
    <col min="12298" max="12298" width="13.81640625" style="3" customWidth="1"/>
    <col min="12299" max="12299" width="15.453125" style="3" customWidth="1"/>
    <col min="12300" max="12300" width="17" style="3" customWidth="1"/>
    <col min="12301" max="12301" width="18.81640625" style="3" customWidth="1"/>
    <col min="12302" max="12302" width="12.453125" style="3" customWidth="1"/>
    <col min="12303" max="12551" width="11.453125" style="3"/>
    <col min="12552" max="12552" width="18.453125" style="3" customWidth="1"/>
    <col min="12553" max="12553" width="16.1796875" style="3" customWidth="1"/>
    <col min="12554" max="12554" width="13.81640625" style="3" customWidth="1"/>
    <col min="12555" max="12555" width="15.453125" style="3" customWidth="1"/>
    <col min="12556" max="12556" width="17" style="3" customWidth="1"/>
    <col min="12557" max="12557" width="18.81640625" style="3" customWidth="1"/>
    <col min="12558" max="12558" width="12.453125" style="3" customWidth="1"/>
    <col min="12559" max="12807" width="11.453125" style="3"/>
    <col min="12808" max="12808" width="18.453125" style="3" customWidth="1"/>
    <col min="12809" max="12809" width="16.1796875" style="3" customWidth="1"/>
    <col min="12810" max="12810" width="13.81640625" style="3" customWidth="1"/>
    <col min="12811" max="12811" width="15.453125" style="3" customWidth="1"/>
    <col min="12812" max="12812" width="17" style="3" customWidth="1"/>
    <col min="12813" max="12813" width="18.81640625" style="3" customWidth="1"/>
    <col min="12814" max="12814" width="12.453125" style="3" customWidth="1"/>
    <col min="12815" max="13063" width="11.453125" style="3"/>
    <col min="13064" max="13064" width="18.453125" style="3" customWidth="1"/>
    <col min="13065" max="13065" width="16.1796875" style="3" customWidth="1"/>
    <col min="13066" max="13066" width="13.81640625" style="3" customWidth="1"/>
    <col min="13067" max="13067" width="15.453125" style="3" customWidth="1"/>
    <col min="13068" max="13068" width="17" style="3" customWidth="1"/>
    <col min="13069" max="13069" width="18.81640625" style="3" customWidth="1"/>
    <col min="13070" max="13070" width="12.453125" style="3" customWidth="1"/>
    <col min="13071" max="13319" width="11.453125" style="3"/>
    <col min="13320" max="13320" width="18.453125" style="3" customWidth="1"/>
    <col min="13321" max="13321" width="16.1796875" style="3" customWidth="1"/>
    <col min="13322" max="13322" width="13.81640625" style="3" customWidth="1"/>
    <col min="13323" max="13323" width="15.453125" style="3" customWidth="1"/>
    <col min="13324" max="13324" width="17" style="3" customWidth="1"/>
    <col min="13325" max="13325" width="18.81640625" style="3" customWidth="1"/>
    <col min="13326" max="13326" width="12.453125" style="3" customWidth="1"/>
    <col min="13327" max="13575" width="11.453125" style="3"/>
    <col min="13576" max="13576" width="18.453125" style="3" customWidth="1"/>
    <col min="13577" max="13577" width="16.1796875" style="3" customWidth="1"/>
    <col min="13578" max="13578" width="13.81640625" style="3" customWidth="1"/>
    <col min="13579" max="13579" width="15.453125" style="3" customWidth="1"/>
    <col min="13580" max="13580" width="17" style="3" customWidth="1"/>
    <col min="13581" max="13581" width="18.81640625" style="3" customWidth="1"/>
    <col min="13582" max="13582" width="12.453125" style="3" customWidth="1"/>
    <col min="13583" max="13831" width="11.453125" style="3"/>
    <col min="13832" max="13832" width="18.453125" style="3" customWidth="1"/>
    <col min="13833" max="13833" width="16.1796875" style="3" customWidth="1"/>
    <col min="13834" max="13834" width="13.81640625" style="3" customWidth="1"/>
    <col min="13835" max="13835" width="15.453125" style="3" customWidth="1"/>
    <col min="13836" max="13836" width="17" style="3" customWidth="1"/>
    <col min="13837" max="13837" width="18.81640625" style="3" customWidth="1"/>
    <col min="13838" max="13838" width="12.453125" style="3" customWidth="1"/>
    <col min="13839" max="14087" width="11.453125" style="3"/>
    <col min="14088" max="14088" width="18.453125" style="3" customWidth="1"/>
    <col min="14089" max="14089" width="16.1796875" style="3" customWidth="1"/>
    <col min="14090" max="14090" width="13.81640625" style="3" customWidth="1"/>
    <col min="14091" max="14091" width="15.453125" style="3" customWidth="1"/>
    <col min="14092" max="14092" width="17" style="3" customWidth="1"/>
    <col min="14093" max="14093" width="18.81640625" style="3" customWidth="1"/>
    <col min="14094" max="14094" width="12.453125" style="3" customWidth="1"/>
    <col min="14095" max="14343" width="11.453125" style="3"/>
    <col min="14344" max="14344" width="18.453125" style="3" customWidth="1"/>
    <col min="14345" max="14345" width="16.1796875" style="3" customWidth="1"/>
    <col min="14346" max="14346" width="13.81640625" style="3" customWidth="1"/>
    <col min="14347" max="14347" width="15.453125" style="3" customWidth="1"/>
    <col min="14348" max="14348" width="17" style="3" customWidth="1"/>
    <col min="14349" max="14349" width="18.81640625" style="3" customWidth="1"/>
    <col min="14350" max="14350" width="12.453125" style="3" customWidth="1"/>
    <col min="14351" max="14599" width="11.453125" style="3"/>
    <col min="14600" max="14600" width="18.453125" style="3" customWidth="1"/>
    <col min="14601" max="14601" width="16.1796875" style="3" customWidth="1"/>
    <col min="14602" max="14602" width="13.81640625" style="3" customWidth="1"/>
    <col min="14603" max="14603" width="15.453125" style="3" customWidth="1"/>
    <col min="14604" max="14604" width="17" style="3" customWidth="1"/>
    <col min="14605" max="14605" width="18.81640625" style="3" customWidth="1"/>
    <col min="14606" max="14606" width="12.453125" style="3" customWidth="1"/>
    <col min="14607" max="14855" width="11.453125" style="3"/>
    <col min="14856" max="14856" width="18.453125" style="3" customWidth="1"/>
    <col min="14857" max="14857" width="16.1796875" style="3" customWidth="1"/>
    <col min="14858" max="14858" width="13.81640625" style="3" customWidth="1"/>
    <col min="14859" max="14859" width="15.453125" style="3" customWidth="1"/>
    <col min="14860" max="14860" width="17" style="3" customWidth="1"/>
    <col min="14861" max="14861" width="18.81640625" style="3" customWidth="1"/>
    <col min="14862" max="14862" width="12.453125" style="3" customWidth="1"/>
    <col min="14863" max="15111" width="11.453125" style="3"/>
    <col min="15112" max="15112" width="18.453125" style="3" customWidth="1"/>
    <col min="15113" max="15113" width="16.1796875" style="3" customWidth="1"/>
    <col min="15114" max="15114" width="13.81640625" style="3" customWidth="1"/>
    <col min="15115" max="15115" width="15.453125" style="3" customWidth="1"/>
    <col min="15116" max="15116" width="17" style="3" customWidth="1"/>
    <col min="15117" max="15117" width="18.81640625" style="3" customWidth="1"/>
    <col min="15118" max="15118" width="12.453125" style="3" customWidth="1"/>
    <col min="15119" max="15367" width="11.453125" style="3"/>
    <col min="15368" max="15368" width="18.453125" style="3" customWidth="1"/>
    <col min="15369" max="15369" width="16.1796875" style="3" customWidth="1"/>
    <col min="15370" max="15370" width="13.81640625" style="3" customWidth="1"/>
    <col min="15371" max="15371" width="15.453125" style="3" customWidth="1"/>
    <col min="15372" max="15372" width="17" style="3" customWidth="1"/>
    <col min="15373" max="15373" width="18.81640625" style="3" customWidth="1"/>
    <col min="15374" max="15374" width="12.453125" style="3" customWidth="1"/>
    <col min="15375" max="15623" width="11.453125" style="3"/>
    <col min="15624" max="15624" width="18.453125" style="3" customWidth="1"/>
    <col min="15625" max="15625" width="16.1796875" style="3" customWidth="1"/>
    <col min="15626" max="15626" width="13.81640625" style="3" customWidth="1"/>
    <col min="15627" max="15627" width="15.453125" style="3" customWidth="1"/>
    <col min="15628" max="15628" width="17" style="3" customWidth="1"/>
    <col min="15629" max="15629" width="18.81640625" style="3" customWidth="1"/>
    <col min="15630" max="15630" width="12.453125" style="3" customWidth="1"/>
    <col min="15631" max="15879" width="11.453125" style="3"/>
    <col min="15880" max="15880" width="18.453125" style="3" customWidth="1"/>
    <col min="15881" max="15881" width="16.1796875" style="3" customWidth="1"/>
    <col min="15882" max="15882" width="13.81640625" style="3" customWidth="1"/>
    <col min="15883" max="15883" width="15.453125" style="3" customWidth="1"/>
    <col min="15884" max="15884" width="17" style="3" customWidth="1"/>
    <col min="15885" max="15885" width="18.81640625" style="3" customWidth="1"/>
    <col min="15886" max="15886" width="12.453125" style="3" customWidth="1"/>
    <col min="15887" max="16135" width="11.453125" style="3"/>
    <col min="16136" max="16136" width="18.453125" style="3" customWidth="1"/>
    <col min="16137" max="16137" width="16.1796875" style="3" customWidth="1"/>
    <col min="16138" max="16138" width="13.81640625" style="3" customWidth="1"/>
    <col min="16139" max="16139" width="15.453125" style="3" customWidth="1"/>
    <col min="16140" max="16140" width="17" style="3" customWidth="1"/>
    <col min="16141" max="16141" width="18.81640625" style="3" customWidth="1"/>
    <col min="16142" max="16142" width="12.453125" style="3" customWidth="1"/>
    <col min="16143" max="16384" width="11.453125" style="3"/>
  </cols>
  <sheetData>
    <row r="2" spans="2:22" ht="15.5" x14ac:dyDescent="0.35">
      <c r="B2" s="1" t="s">
        <v>0</v>
      </c>
      <c r="C2" s="2"/>
    </row>
    <row r="3" spans="2:22" ht="13" thickBot="1" x14ac:dyDescent="0.3">
      <c r="B3" s="4"/>
      <c r="C3" s="4"/>
    </row>
    <row r="4" spans="2:22" ht="13" x14ac:dyDescent="0.3">
      <c r="B4" s="5"/>
      <c r="C4" s="6"/>
      <c r="D4" s="7"/>
      <c r="E4" s="7"/>
      <c r="F4" s="7"/>
      <c r="G4" s="7"/>
      <c r="H4" s="7"/>
      <c r="I4" s="7"/>
      <c r="J4" s="7"/>
      <c r="K4" s="7"/>
      <c r="L4" s="6"/>
      <c r="M4" s="6"/>
      <c r="N4" s="6"/>
      <c r="O4" s="6"/>
      <c r="P4" s="6"/>
      <c r="Q4" s="22"/>
      <c r="R4" s="26"/>
      <c r="S4" s="26"/>
      <c r="T4" s="26"/>
      <c r="U4" s="26"/>
      <c r="V4" s="26"/>
    </row>
    <row r="5" spans="2:22" ht="13" x14ac:dyDescent="0.3">
      <c r="B5" s="8" t="s">
        <v>1</v>
      </c>
      <c r="C5" s="24" t="s">
        <v>2</v>
      </c>
      <c r="D5" s="9" t="s">
        <v>3</v>
      </c>
      <c r="E5" s="9" t="s">
        <v>24</v>
      </c>
      <c r="F5" s="9" t="s">
        <v>4</v>
      </c>
      <c r="G5" s="9" t="s">
        <v>4</v>
      </c>
      <c r="H5" s="9" t="s">
        <v>4</v>
      </c>
      <c r="I5" s="9" t="s">
        <v>4</v>
      </c>
      <c r="J5" s="9" t="s">
        <v>4</v>
      </c>
      <c r="K5" s="9" t="s">
        <v>4</v>
      </c>
      <c r="L5" s="9" t="s">
        <v>4</v>
      </c>
      <c r="M5" s="9" t="s">
        <v>4</v>
      </c>
      <c r="N5" s="9" t="s">
        <v>4</v>
      </c>
      <c r="O5" s="9" t="s">
        <v>4</v>
      </c>
      <c r="P5" s="9" t="s">
        <v>4</v>
      </c>
      <c r="Q5" s="24" t="s">
        <v>4</v>
      </c>
      <c r="R5" s="24" t="s">
        <v>4</v>
      </c>
      <c r="S5" s="24" t="s">
        <v>4</v>
      </c>
      <c r="T5" s="24" t="s">
        <v>4</v>
      </c>
      <c r="U5" s="24" t="s">
        <v>4</v>
      </c>
      <c r="V5" s="24" t="s">
        <v>4</v>
      </c>
    </row>
    <row r="6" spans="2:22" ht="13" x14ac:dyDescent="0.3">
      <c r="B6" s="10"/>
      <c r="C6" s="24" t="s">
        <v>5</v>
      </c>
      <c r="D6" s="9" t="s">
        <v>6</v>
      </c>
      <c r="E6" s="9" t="s">
        <v>25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11</v>
      </c>
      <c r="K6" s="9" t="s">
        <v>12</v>
      </c>
      <c r="L6" s="9" t="s">
        <v>13</v>
      </c>
      <c r="M6" s="9" t="s">
        <v>14</v>
      </c>
      <c r="N6" s="9" t="s">
        <v>15</v>
      </c>
      <c r="O6" s="9" t="s">
        <v>16</v>
      </c>
      <c r="P6" s="9" t="s">
        <v>17</v>
      </c>
      <c r="Q6" s="24" t="s">
        <v>18</v>
      </c>
      <c r="R6" s="24" t="s">
        <v>19</v>
      </c>
      <c r="S6" s="24" t="s">
        <v>20</v>
      </c>
      <c r="T6" s="24" t="s">
        <v>21</v>
      </c>
      <c r="U6" s="24" t="s">
        <v>22</v>
      </c>
      <c r="V6" s="24" t="s">
        <v>23</v>
      </c>
    </row>
    <row r="7" spans="2:22" ht="13.5" thickBot="1" x14ac:dyDescent="0.35">
      <c r="B7" s="11"/>
      <c r="C7" s="12"/>
      <c r="D7" s="13"/>
      <c r="E7" s="13"/>
      <c r="F7" s="13"/>
      <c r="G7" s="13"/>
      <c r="H7" s="13"/>
      <c r="I7" s="13"/>
      <c r="J7" s="13"/>
      <c r="K7" s="13"/>
      <c r="L7" s="14"/>
      <c r="M7" s="14"/>
      <c r="N7" s="14"/>
      <c r="O7" s="14"/>
      <c r="P7" s="14"/>
      <c r="Q7" s="27"/>
      <c r="R7" s="14"/>
      <c r="S7" s="14"/>
      <c r="T7" s="14"/>
      <c r="U7" s="14"/>
      <c r="V7" s="14"/>
    </row>
    <row r="8" spans="2:22" x14ac:dyDescent="0.25">
      <c r="D8" s="15"/>
      <c r="E8" s="15"/>
      <c r="F8" s="15"/>
      <c r="G8" s="15"/>
      <c r="H8" s="15"/>
      <c r="I8" s="15"/>
      <c r="J8" s="15"/>
      <c r="K8" s="15"/>
    </row>
    <row r="9" spans="2:22" x14ac:dyDescent="0.25">
      <c r="B9" s="16">
        <v>2000</v>
      </c>
      <c r="C9" s="17">
        <f>+C10/(1+D10)</f>
        <v>43.269246985506726</v>
      </c>
      <c r="D9" s="18">
        <v>8.7482000000000004E-2</v>
      </c>
      <c r="E9" s="20">
        <f>+C9/$C$9</f>
        <v>1</v>
      </c>
      <c r="F9" s="19">
        <f>+C9/$C$19</f>
        <v>0.58909798482650411</v>
      </c>
      <c r="G9" s="19">
        <f>+C9/$C$20</f>
        <v>0.56791241613737664</v>
      </c>
      <c r="H9" s="19">
        <f>+C9/$C$21</f>
        <v>0.55437856483672943</v>
      </c>
      <c r="I9" s="19">
        <f>+C9/$C$22</f>
        <v>0.54385679971727907</v>
      </c>
      <c r="J9" s="19">
        <f>+C9/$C$23</f>
        <v>0.52466650885784805</v>
      </c>
      <c r="K9" s="19">
        <f>+C9/$C$24</f>
        <v>0.4914167743953064</v>
      </c>
      <c r="L9" s="19">
        <f t="shared" ref="L9:L14" si="0">C9/$C$25</f>
        <v>0.46471106202885537</v>
      </c>
      <c r="M9" s="19">
        <f t="shared" ref="M9:M15" si="1">C9/$C$26</f>
        <v>0.44644291153019733</v>
      </c>
      <c r="N9" s="19">
        <f>C9/$C$27</f>
        <v>0.43269246985506726</v>
      </c>
      <c r="O9" s="19">
        <f>C9/$C$28</f>
        <v>0.41685209041913995</v>
      </c>
      <c r="P9" s="19">
        <f t="shared" ref="P9:P59" si="2">C9/$C$29</f>
        <v>0.41024711191727187</v>
      </c>
      <c r="Q9" s="19">
        <f t="shared" ref="Q9:Q59" si="3">$C9/$C$30</f>
        <v>0.38849158325499228</v>
      </c>
      <c r="R9" s="19">
        <f>$C9/$C$31</f>
        <v>0.34343315351396064</v>
      </c>
      <c r="S9" s="19">
        <f>$C9/$C$32</f>
        <v>0.31426899113649404</v>
      </c>
      <c r="T9" s="19">
        <f>$C9/$C$33</f>
        <v>0.29873478244913881</v>
      </c>
      <c r="U9" s="19">
        <f>$C9/$C$34</f>
        <v>0.28423861317710636</v>
      </c>
      <c r="V9" s="19">
        <f>$C9/$C$35</f>
        <v>0.26739286281947916</v>
      </c>
    </row>
    <row r="10" spans="2:22" x14ac:dyDescent="0.25">
      <c r="B10" s="16">
        <v>2001</v>
      </c>
      <c r="C10" s="17">
        <f>+C11/(1+D11)</f>
        <v>46.578610537692221</v>
      </c>
      <c r="D10" s="18">
        <v>7.6483040097600652E-2</v>
      </c>
      <c r="E10" s="19">
        <f>+C10/$C$9</f>
        <v>1.0764830400976007</v>
      </c>
      <c r="F10" s="19">
        <f t="shared" ref="F10:F41" si="4">+C10/$C$19</f>
        <v>0.63415398962140535</v>
      </c>
      <c r="G10" s="19">
        <f>+C10/$C$20</f>
        <v>0.6113480842327369</v>
      </c>
      <c r="H10" s="19">
        <f>+C10/$C$21</f>
        <v>0.59677912284038725</v>
      </c>
      <c r="I10" s="19">
        <f>+C10/$C$22</f>
        <v>0.58545262113740848</v>
      </c>
      <c r="J10" s="19">
        <f>+C10/$C$23</f>
        <v>0.56479459849269098</v>
      </c>
      <c r="K10" s="19">
        <f>+C10/$C$24</f>
        <v>0.52900182325601619</v>
      </c>
      <c r="L10" s="19">
        <f t="shared" si="0"/>
        <v>0.50025357681980687</v>
      </c>
      <c r="M10" s="19">
        <f t="shared" si="1"/>
        <v>0.48058822263405099</v>
      </c>
      <c r="N10" s="19">
        <f>C10/$C$27</f>
        <v>0.46578610537692222</v>
      </c>
      <c r="O10" s="19">
        <f>C10/$C$28</f>
        <v>0.44873420556543564</v>
      </c>
      <c r="P10" s="19">
        <f t="shared" si="2"/>
        <v>0.44162405822796541</v>
      </c>
      <c r="Q10" s="19">
        <f t="shared" si="3"/>
        <v>0.41820460059466419</v>
      </c>
      <c r="R10" s="19">
        <f>$C10/$C$31</f>
        <v>0.3696999651650143</v>
      </c>
      <c r="S10" s="19">
        <f t="shared" ref="S10:S59" si="5">$C10/$C$32</f>
        <v>0.33830523898701897</v>
      </c>
      <c r="T10" s="19">
        <f>$C10/$C$33</f>
        <v>0.32158292679374428</v>
      </c>
      <c r="U10" s="19">
        <f t="shared" ref="U10:U59" si="6">$C10/$C$34</f>
        <v>0.30597804642601739</v>
      </c>
      <c r="V10" s="19">
        <f t="shared" ref="V10:V59" si="7">$C10/$C$35</f>
        <v>0.28784388186831361</v>
      </c>
    </row>
    <row r="11" spans="2:22" x14ac:dyDescent="0.25">
      <c r="B11" s="16">
        <v>2002</v>
      </c>
      <c r="C11" s="17">
        <f>+C12/(1+D12)</f>
        <v>49.835312650147586</v>
      </c>
      <c r="D11" s="18">
        <v>6.9918404067033757E-2</v>
      </c>
      <c r="E11" s="19">
        <f t="shared" ref="E11:E59" si="8">+C11/$C$9</f>
        <v>1.1517490162664537</v>
      </c>
      <c r="F11" s="19">
        <f t="shared" si="4"/>
        <v>0.67849302450847626</v>
      </c>
      <c r="G11" s="19">
        <f>+C11/$C$20</f>
        <v>0.65409256661172843</v>
      </c>
      <c r="H11" s="19">
        <f>+C11/$C$21</f>
        <v>0.63850496668991141</v>
      </c>
      <c r="I11" s="19">
        <f>+C11/$C$22</f>
        <v>0.62638653406419786</v>
      </c>
      <c r="J11" s="19">
        <f>+C11/$C$23</f>
        <v>0.60428413544498105</v>
      </c>
      <c r="K11" s="19">
        <f>+C11/$C$24</f>
        <v>0.56598878648662787</v>
      </c>
      <c r="L11" s="19">
        <f t="shared" si="0"/>
        <v>0.53523050853987308</v>
      </c>
      <c r="M11" s="19">
        <f t="shared" si="1"/>
        <v>0.51419018417403617</v>
      </c>
      <c r="N11" s="19">
        <f>C11/$C$27</f>
        <v>0.49835312650147584</v>
      </c>
      <c r="O11" s="19">
        <f>C11/$C$28</f>
        <v>0.48010898506885924</v>
      </c>
      <c r="P11" s="19">
        <f t="shared" si="2"/>
        <v>0.47250170757687154</v>
      </c>
      <c r="Q11" s="19">
        <f t="shared" si="3"/>
        <v>0.44744479884173444</v>
      </c>
      <c r="R11" s="19">
        <f t="shared" ref="R11:R59" si="9">$C11/$C$31</f>
        <v>0.39554879671299009</v>
      </c>
      <c r="S11" s="19">
        <f t="shared" si="5"/>
        <v>0.36195900138450782</v>
      </c>
      <c r="T11" s="19">
        <f t="shared" ref="T11:T59" si="10">$C11/$C$33</f>
        <v>0.34406749181036866</v>
      </c>
      <c r="U11" s="19">
        <f t="shared" si="6"/>
        <v>0.32737154311167332</v>
      </c>
      <c r="V11" s="19">
        <f t="shared" si="7"/>
        <v>0.30796946670900593</v>
      </c>
    </row>
    <row r="12" spans="2:22" x14ac:dyDescent="0.25">
      <c r="B12" s="16">
        <v>2003</v>
      </c>
      <c r="C12" s="17">
        <v>53.07</v>
      </c>
      <c r="D12" s="18">
        <v>6.4907535998830257E-2</v>
      </c>
      <c r="E12" s="19">
        <f t="shared" si="8"/>
        <v>1.2265062070013857</v>
      </c>
      <c r="F12" s="19">
        <f t="shared" si="4"/>
        <v>0.72253233492171542</v>
      </c>
      <c r="G12" s="19">
        <f>+C12/$C$20</f>
        <v>0.69654810342564644</v>
      </c>
      <c r="H12" s="19">
        <f>+C12/$C$21</f>
        <v>0.67994875080076878</v>
      </c>
      <c r="I12" s="19">
        <f>+C12/$C$22</f>
        <v>0.6670437405731523</v>
      </c>
      <c r="J12" s="19">
        <f>+C12/$C$23</f>
        <v>0.6435067297198982</v>
      </c>
      <c r="K12" s="19">
        <f>+C12/$C$24</f>
        <v>0.602725724020443</v>
      </c>
      <c r="L12" s="19">
        <f t="shared" si="0"/>
        <v>0.56997100204059714</v>
      </c>
      <c r="M12" s="19">
        <f t="shared" si="1"/>
        <v>0.54756500206355752</v>
      </c>
      <c r="N12" s="19">
        <f>C12/$C$27</f>
        <v>0.53069999999999995</v>
      </c>
      <c r="O12" s="19">
        <f>C12/$C$28</f>
        <v>0.51127167630057802</v>
      </c>
      <c r="P12" s="19">
        <f t="shared" si="2"/>
        <v>0.50317062917092614</v>
      </c>
      <c r="Q12" s="19">
        <f t="shared" si="3"/>
        <v>0.47648733823004363</v>
      </c>
      <c r="R12" s="19">
        <f t="shared" si="9"/>
        <v>0.4212228944749325</v>
      </c>
      <c r="S12" s="19">
        <f t="shared" si="5"/>
        <v>0.38545286829697339</v>
      </c>
      <c r="T12" s="19">
        <f t="shared" si="10"/>
        <v>0.36640006492107741</v>
      </c>
      <c r="U12" s="19">
        <f t="shared" si="6"/>
        <v>0.34862042333118687</v>
      </c>
      <c r="V12" s="19">
        <f t="shared" si="7"/>
        <v>0.32795900595596128</v>
      </c>
    </row>
    <row r="13" spans="2:22" ht="12" customHeight="1" x14ac:dyDescent="0.25">
      <c r="B13" s="16">
        <v>2004</v>
      </c>
      <c r="C13" s="17">
        <v>55.99</v>
      </c>
      <c r="D13" s="18">
        <v>5.4979751527215237E-2</v>
      </c>
      <c r="E13" s="19">
        <f t="shared" si="8"/>
        <v>1.2939906261542791</v>
      </c>
      <c r="F13" s="19">
        <f t="shared" si="4"/>
        <v>0.76228727025187204</v>
      </c>
      <c r="G13" s="19">
        <f t="shared" ref="G13:G41" si="11">+C13/$C$20</f>
        <v>0.73487334295839357</v>
      </c>
      <c r="H13" s="19">
        <f t="shared" ref="H13:H41" si="12">+C13/$C$21</f>
        <v>0.71736066623959005</v>
      </c>
      <c r="I13" s="19">
        <f t="shared" ref="I13:I41" si="13">+C13/$C$22</f>
        <v>0.70374560080442439</v>
      </c>
      <c r="J13" s="19">
        <f t="shared" ref="J13:J41" si="14">+C13/$C$23</f>
        <v>0.67891354431914641</v>
      </c>
      <c r="K13" s="19">
        <f t="shared" ref="K13:K41" si="15">+C13/$C$24</f>
        <v>0.63588869960249861</v>
      </c>
      <c r="L13" s="19">
        <f t="shared" si="0"/>
        <v>0.60133175813553863</v>
      </c>
      <c r="M13" s="19">
        <f t="shared" si="1"/>
        <v>0.57769294263309945</v>
      </c>
      <c r="N13" s="19">
        <f>C13/$C$27</f>
        <v>0.55990000000000006</v>
      </c>
      <c r="O13" s="19">
        <f>C13/$C$28</f>
        <v>0.5394026974951831</v>
      </c>
      <c r="P13" s="19">
        <f t="shared" si="2"/>
        <v>0.53085591722781522</v>
      </c>
      <c r="Q13" s="19">
        <f t="shared" si="3"/>
        <v>0.50270446707179473</v>
      </c>
      <c r="R13" s="19">
        <f t="shared" si="9"/>
        <v>0.44439928135766854</v>
      </c>
      <c r="S13" s="19">
        <f t="shared" si="5"/>
        <v>0.40666112862158549</v>
      </c>
      <c r="T13" s="19">
        <f t="shared" si="10"/>
        <v>0.38656000819542347</v>
      </c>
      <c r="U13" s="19">
        <f t="shared" si="6"/>
        <v>0.36780210104226779</v>
      </c>
      <c r="V13" s="19">
        <f t="shared" si="7"/>
        <v>0.3460038579889631</v>
      </c>
    </row>
    <row r="14" spans="2:22" x14ac:dyDescent="0.25">
      <c r="B14" s="16">
        <v>2005</v>
      </c>
      <c r="C14" s="17">
        <v>58.7</v>
      </c>
      <c r="D14" s="18">
        <v>4.8559345738451665E-2</v>
      </c>
      <c r="E14" s="19">
        <f t="shared" si="8"/>
        <v>1.3566217137927521</v>
      </c>
      <c r="F14" s="19">
        <f t="shared" si="4"/>
        <v>0.79918311776718853</v>
      </c>
      <c r="G14" s="19">
        <f t="shared" si="11"/>
        <v>0.77044231526447049</v>
      </c>
      <c r="H14" s="19">
        <f t="shared" si="12"/>
        <v>0.75208199871877013</v>
      </c>
      <c r="I14" s="19">
        <f t="shared" si="13"/>
        <v>0.73780794369029667</v>
      </c>
      <c r="J14" s="19">
        <f t="shared" si="14"/>
        <v>0.71177397841639389</v>
      </c>
      <c r="K14" s="19">
        <f t="shared" si="15"/>
        <v>0.66666666666666674</v>
      </c>
      <c r="L14" s="19">
        <f t="shared" si="0"/>
        <v>0.63043711738803565</v>
      </c>
      <c r="M14" s="19">
        <f t="shared" si="1"/>
        <v>0.60565414775072224</v>
      </c>
      <c r="N14" s="19">
        <f t="shared" ref="N14:N26" si="16">C14/$C$27</f>
        <v>0.58700000000000008</v>
      </c>
      <c r="O14" s="19">
        <f t="shared" ref="O14:O27" si="17">C14/$C$28</f>
        <v>0.56551059730250486</v>
      </c>
      <c r="P14" s="19">
        <f t="shared" si="2"/>
        <v>0.55655014004773629</v>
      </c>
      <c r="Q14" s="19">
        <f t="shared" si="3"/>
        <v>0.52703611746944723</v>
      </c>
      <c r="R14" s="19">
        <f t="shared" si="9"/>
        <v>0.46590887329335856</v>
      </c>
      <c r="S14" s="19">
        <f t="shared" si="5"/>
        <v>0.4263441373475097</v>
      </c>
      <c r="T14" s="19">
        <f t="shared" si="10"/>
        <v>0.40527009253565566</v>
      </c>
      <c r="U14" s="19">
        <f t="shared" si="6"/>
        <v>0.38560427453440116</v>
      </c>
      <c r="V14" s="19">
        <f t="shared" si="7"/>
        <v>0.36275096381411209</v>
      </c>
    </row>
    <row r="15" spans="2:22" x14ac:dyDescent="0.25">
      <c r="B15" s="16">
        <v>2006</v>
      </c>
      <c r="C15" s="17">
        <v>61.33</v>
      </c>
      <c r="D15" s="18">
        <v>4.47770454298142E-2</v>
      </c>
      <c r="E15" s="19">
        <f t="shared" si="8"/>
        <v>1.4174039132352552</v>
      </c>
      <c r="F15" s="19">
        <f t="shared" si="4"/>
        <v>0.83498978897208975</v>
      </c>
      <c r="G15" s="19">
        <f t="shared" si="11"/>
        <v>0.80496128100800635</v>
      </c>
      <c r="H15" s="19">
        <f t="shared" si="12"/>
        <v>0.78577834721332485</v>
      </c>
      <c r="I15" s="19">
        <f t="shared" si="13"/>
        <v>0.77086475615887373</v>
      </c>
      <c r="J15" s="19">
        <f t="shared" si="14"/>
        <v>0.74366436279859338</v>
      </c>
      <c r="K15" s="19">
        <f t="shared" si="15"/>
        <v>0.69653605905735383</v>
      </c>
      <c r="L15" s="19">
        <f t="shared" ref="L15:L24" si="18">C15/$C$25</f>
        <v>0.65868327784341096</v>
      </c>
      <c r="M15" s="19">
        <f t="shared" si="1"/>
        <v>0.63278992983904248</v>
      </c>
      <c r="N15" s="19">
        <f>C15/$C$27</f>
        <v>0.61329999999999996</v>
      </c>
      <c r="O15" s="19">
        <f t="shared" si="17"/>
        <v>0.59084778420038531</v>
      </c>
      <c r="P15" s="19">
        <f t="shared" si="2"/>
        <v>0.58148586182500273</v>
      </c>
      <c r="Q15" s="19">
        <f t="shared" si="3"/>
        <v>0.55064949036458599</v>
      </c>
      <c r="R15" s="19">
        <f t="shared" si="9"/>
        <v>0.48678349572541191</v>
      </c>
      <c r="S15" s="19">
        <f t="shared" si="5"/>
        <v>0.44544609784536232</v>
      </c>
      <c r="T15" s="19">
        <f t="shared" si="10"/>
        <v>0.42342784966289199</v>
      </c>
      <c r="U15" s="19">
        <f t="shared" si="6"/>
        <v>0.40288092260979252</v>
      </c>
      <c r="V15" s="19">
        <f t="shared" si="7"/>
        <v>0.37900369013150753</v>
      </c>
    </row>
    <row r="16" spans="2:22" x14ac:dyDescent="0.25">
      <c r="B16" s="16">
        <v>2007</v>
      </c>
      <c r="C16" s="17">
        <v>64.819999999999993</v>
      </c>
      <c r="D16" s="18">
        <v>5.6899999999999951E-2</v>
      </c>
      <c r="E16" s="19">
        <f t="shared" si="8"/>
        <v>1.4980616607844321</v>
      </c>
      <c r="F16" s="19">
        <f t="shared" si="4"/>
        <v>0.88250510551395489</v>
      </c>
      <c r="G16" s="19">
        <f t="shared" si="11"/>
        <v>0.85076781729885809</v>
      </c>
      <c r="H16" s="19">
        <f t="shared" si="12"/>
        <v>0.83049327354260083</v>
      </c>
      <c r="I16" s="19">
        <f t="shared" si="13"/>
        <v>0.81473102061337344</v>
      </c>
      <c r="J16" s="19">
        <f t="shared" si="14"/>
        <v>0.78598278161755786</v>
      </c>
      <c r="K16" s="19">
        <f t="shared" si="15"/>
        <v>0.73617262918796134</v>
      </c>
      <c r="L16" s="19">
        <f>C16/$C$25</f>
        <v>0.69616582536784444</v>
      </c>
      <c r="M16" s="19">
        <f t="shared" ref="M16:M25" si="19">C16/$C$26</f>
        <v>0.6687990094923647</v>
      </c>
      <c r="N16" s="19">
        <f t="shared" si="16"/>
        <v>0.64819999999999989</v>
      </c>
      <c r="O16" s="19">
        <f t="shared" si="17"/>
        <v>0.62447013487475911</v>
      </c>
      <c r="P16" s="19">
        <f t="shared" si="2"/>
        <v>0.61457546981080513</v>
      </c>
      <c r="Q16" s="19">
        <f t="shared" si="3"/>
        <v>0.58198434641174723</v>
      </c>
      <c r="R16" s="19">
        <f t="shared" si="9"/>
        <v>0.5144840403215587</v>
      </c>
      <c r="S16" s="19">
        <f t="shared" si="5"/>
        <v>0.47079432679498423</v>
      </c>
      <c r="T16" s="19">
        <f t="shared" si="10"/>
        <v>0.44752312432983293</v>
      </c>
      <c r="U16" s="19">
        <f t="shared" si="6"/>
        <v>0.42580696891515979</v>
      </c>
      <c r="V16" s="19">
        <f t="shared" si="7"/>
        <v>0.40057099615725283</v>
      </c>
    </row>
    <row r="17" spans="1:26" x14ac:dyDescent="0.25">
      <c r="B17" s="16">
        <v>2008</v>
      </c>
      <c r="C17" s="17">
        <v>69.8</v>
      </c>
      <c r="D17" s="18">
        <v>7.669999999999999E-2</v>
      </c>
      <c r="E17" s="19">
        <f t="shared" si="8"/>
        <v>1.6131549509835448</v>
      </c>
      <c r="F17" s="19">
        <f t="shared" si="4"/>
        <v>0.9503063308373042</v>
      </c>
      <c r="G17" s="19">
        <f t="shared" si="11"/>
        <v>0.91613072581703636</v>
      </c>
      <c r="H17" s="19">
        <f t="shared" si="12"/>
        <v>0.89429852658552211</v>
      </c>
      <c r="I17" s="19">
        <f t="shared" si="13"/>
        <v>0.87732528908999496</v>
      </c>
      <c r="J17" s="19">
        <f t="shared" si="14"/>
        <v>0.84636837637928941</v>
      </c>
      <c r="K17" s="19">
        <f t="shared" si="15"/>
        <v>0.79273140261215214</v>
      </c>
      <c r="L17" s="19">
        <f t="shared" si="18"/>
        <v>0.74965095048866925</v>
      </c>
      <c r="M17" s="19">
        <f t="shared" si="19"/>
        <v>0.72018159306644647</v>
      </c>
      <c r="N17" s="19">
        <f t="shared" si="16"/>
        <v>0.69799999999999995</v>
      </c>
      <c r="O17" s="19">
        <f t="shared" si="17"/>
        <v>0.67244701348747593</v>
      </c>
      <c r="P17" s="19">
        <f t="shared" si="2"/>
        <v>0.66179215971604755</v>
      </c>
      <c r="Q17" s="19">
        <f t="shared" si="3"/>
        <v>0.62669712094322683</v>
      </c>
      <c r="R17" s="19">
        <f t="shared" si="9"/>
        <v>0.5540108919229374</v>
      </c>
      <c r="S17" s="19">
        <f t="shared" si="5"/>
        <v>0.50696457899243907</v>
      </c>
      <c r="T17" s="19">
        <f t="shared" si="10"/>
        <v>0.48190549333882043</v>
      </c>
      <c r="U17" s="19">
        <f t="shared" si="6"/>
        <v>0.45852092610734579</v>
      </c>
      <c r="V17" s="19">
        <f t="shared" si="7"/>
        <v>0.43134612051490667</v>
      </c>
    </row>
    <row r="18" spans="1:26" x14ac:dyDescent="0.25">
      <c r="B18" s="16">
        <v>2009</v>
      </c>
      <c r="C18" s="17">
        <v>71.2</v>
      </c>
      <c r="D18" s="18">
        <v>2.0000000000000018E-2</v>
      </c>
      <c r="E18" s="19">
        <f t="shared" si="8"/>
        <v>1.6455104944130143</v>
      </c>
      <c r="F18" s="19">
        <f t="shared" si="4"/>
        <v>0.96936691626957117</v>
      </c>
      <c r="G18" s="19">
        <f t="shared" si="11"/>
        <v>0.93450584066150422</v>
      </c>
      <c r="H18" s="19">
        <f t="shared" si="12"/>
        <v>0.91223574631646387</v>
      </c>
      <c r="I18" s="19">
        <f t="shared" si="13"/>
        <v>0.89492207139265967</v>
      </c>
      <c r="J18" s="19">
        <f t="shared" si="14"/>
        <v>0.86334424639262763</v>
      </c>
      <c r="K18" s="19">
        <f t="shared" si="15"/>
        <v>0.80863145939806935</v>
      </c>
      <c r="L18" s="19">
        <f t="shared" si="18"/>
        <v>0.76468692943829886</v>
      </c>
      <c r="M18" s="19">
        <f t="shared" si="19"/>
        <v>0.73462649607924058</v>
      </c>
      <c r="N18" s="19">
        <f t="shared" si="16"/>
        <v>0.71200000000000008</v>
      </c>
      <c r="O18" s="19">
        <f t="shared" si="17"/>
        <v>0.68593448940269752</v>
      </c>
      <c r="P18" s="19">
        <f t="shared" si="2"/>
        <v>0.6750659279625012</v>
      </c>
      <c r="Q18" s="19">
        <f t="shared" si="3"/>
        <v>0.63926697723721704</v>
      </c>
      <c r="R18" s="19">
        <f t="shared" si="9"/>
        <v>0.56512285823657804</v>
      </c>
      <c r="S18" s="19">
        <f t="shared" si="5"/>
        <v>0.51713292298369151</v>
      </c>
      <c r="T18" s="19">
        <f t="shared" si="10"/>
        <v>0.49157121956624672</v>
      </c>
      <c r="U18" s="19">
        <f t="shared" si="6"/>
        <v>0.46771762090032981</v>
      </c>
      <c r="V18" s="19">
        <f t="shared" si="7"/>
        <v>0.43999776190059253</v>
      </c>
    </row>
    <row r="19" spans="1:26" x14ac:dyDescent="0.25">
      <c r="B19" s="16">
        <v>2010</v>
      </c>
      <c r="C19" s="17">
        <v>73.45</v>
      </c>
      <c r="D19" s="18">
        <v>3.1699999999999839E-2</v>
      </c>
      <c r="E19" s="19">
        <f t="shared" si="8"/>
        <v>1.6975104749246617</v>
      </c>
      <c r="F19" s="20">
        <f t="shared" si="4"/>
        <v>1</v>
      </c>
      <c r="G19" s="19">
        <f t="shared" si="11"/>
        <v>0.96403727523297023</v>
      </c>
      <c r="H19" s="19">
        <f t="shared" si="12"/>
        <v>0.94106342088404871</v>
      </c>
      <c r="I19" s="19">
        <f t="shared" si="13"/>
        <v>0.92320261437908502</v>
      </c>
      <c r="J19" s="19">
        <f t="shared" si="14"/>
        <v>0.89062689462834976</v>
      </c>
      <c r="K19" s="19">
        <f t="shared" si="15"/>
        <v>0.83418512208972184</v>
      </c>
      <c r="L19" s="19">
        <f t="shared" si="18"/>
        <v>0.78885189560734614</v>
      </c>
      <c r="M19" s="19">
        <f t="shared" si="19"/>
        <v>0.75784151877837391</v>
      </c>
      <c r="N19" s="19">
        <f t="shared" si="16"/>
        <v>0.73450000000000004</v>
      </c>
      <c r="O19" s="19">
        <f t="shared" si="17"/>
        <v>0.70761078998073224</v>
      </c>
      <c r="P19" s="19">
        <f t="shared" si="2"/>
        <v>0.69639876978715887</v>
      </c>
      <c r="Q19" s="19">
        <f t="shared" si="3"/>
        <v>0.65946853199541566</v>
      </c>
      <c r="R19" s="19">
        <f t="shared" si="9"/>
        <v>0.58298137552635754</v>
      </c>
      <c r="S19" s="19">
        <f t="shared" si="5"/>
        <v>0.53347490439820422</v>
      </c>
      <c r="T19" s="19">
        <f t="shared" si="10"/>
        <v>0.50710542243175305</v>
      </c>
      <c r="U19" s="19">
        <f t="shared" si="6"/>
        <v>0.48249802324619701</v>
      </c>
      <c r="V19" s="19">
        <f t="shared" si="7"/>
        <v>0.45390218555615897</v>
      </c>
    </row>
    <row r="20" spans="1:26" x14ac:dyDescent="0.25">
      <c r="B20" s="16">
        <v>2011</v>
      </c>
      <c r="C20" s="17">
        <v>76.19</v>
      </c>
      <c r="D20" s="18">
        <v>3.73E-2</v>
      </c>
      <c r="E20" s="19">
        <f t="shared" si="8"/>
        <v>1.7608348956366229</v>
      </c>
      <c r="F20" s="19">
        <f t="shared" si="4"/>
        <v>1.0373042886317221</v>
      </c>
      <c r="G20" s="20">
        <f t="shared" si="11"/>
        <v>1</v>
      </c>
      <c r="H20" s="19">
        <f t="shared" si="12"/>
        <v>0.97616912235746323</v>
      </c>
      <c r="I20" s="19">
        <f t="shared" si="13"/>
        <v>0.95764203117144286</v>
      </c>
      <c r="J20" s="19">
        <f t="shared" si="14"/>
        <v>0.92385109736874016</v>
      </c>
      <c r="K20" s="19">
        <f t="shared" si="15"/>
        <v>0.86530380465644519</v>
      </c>
      <c r="L20" s="19">
        <f t="shared" si="18"/>
        <v>0.81827945440876382</v>
      </c>
      <c r="M20" s="19">
        <f t="shared" si="19"/>
        <v>0.7861122575319851</v>
      </c>
      <c r="N20" s="19">
        <f t="shared" si="16"/>
        <v>0.76190000000000002</v>
      </c>
      <c r="O20" s="19">
        <f t="shared" si="17"/>
        <v>0.73400770712909436</v>
      </c>
      <c r="P20" s="19">
        <f t="shared" si="2"/>
        <v>0.72237743049807535</v>
      </c>
      <c r="Q20" s="19">
        <f t="shared" si="3"/>
        <v>0.6840695364565107</v>
      </c>
      <c r="R20" s="19">
        <f t="shared" si="9"/>
        <v>0.60472908102591116</v>
      </c>
      <c r="S20" s="19">
        <f t="shared" si="5"/>
        <v>0.55337580620965521</v>
      </c>
      <c r="T20" s="19">
        <f t="shared" si="10"/>
        <v>0.52602262947685863</v>
      </c>
      <c r="U20" s="19">
        <f>$C20/$C$34</f>
        <v>0.50049726876960854</v>
      </c>
      <c r="V20" s="19">
        <f t="shared" si="7"/>
        <v>0.47083468369671544</v>
      </c>
    </row>
    <row r="21" spans="1:26" x14ac:dyDescent="0.25">
      <c r="B21" s="16">
        <v>2012</v>
      </c>
      <c r="C21" s="17">
        <v>78.05</v>
      </c>
      <c r="D21" s="18">
        <v>2.4400000000000002E-2</v>
      </c>
      <c r="E21" s="19">
        <f t="shared" si="8"/>
        <v>1.8038215461929179</v>
      </c>
      <c r="F21" s="19">
        <f t="shared" si="4"/>
        <v>1.0626276378488768</v>
      </c>
      <c r="G21" s="19">
        <f t="shared" si="11"/>
        <v>1.0244126525790787</v>
      </c>
      <c r="H21" s="20">
        <f t="shared" si="12"/>
        <v>1</v>
      </c>
      <c r="I21" s="19">
        <f t="shared" si="13"/>
        <v>0.98102061337355451</v>
      </c>
      <c r="J21" s="19">
        <f t="shared" si="14"/>
        <v>0.94640475324360374</v>
      </c>
      <c r="K21" s="19">
        <f t="shared" si="15"/>
        <v>0.88642816581487793</v>
      </c>
      <c r="L21" s="19">
        <f t="shared" si="18"/>
        <v>0.83825582644184293</v>
      </c>
      <c r="M21" s="19">
        <f t="shared" si="19"/>
        <v>0.80530334296326866</v>
      </c>
      <c r="N21" s="19">
        <f t="shared" si="16"/>
        <v>0.78049999999999997</v>
      </c>
      <c r="O21" s="19">
        <f t="shared" si="17"/>
        <v>0.7519267822736031</v>
      </c>
      <c r="P21" s="19">
        <f t="shared" si="2"/>
        <v>0.7400125797397924</v>
      </c>
      <c r="Q21" s="19">
        <f t="shared" si="3"/>
        <v>0.7007694883899549</v>
      </c>
      <c r="R21" s="19">
        <f>$C21/$C$31</f>
        <v>0.61949212198546222</v>
      </c>
      <c r="S21" s="19">
        <f t="shared" si="5"/>
        <v>0.56688517751231904</v>
      </c>
      <c r="T21" s="19">
        <f t="shared" si="10"/>
        <v>0.53886423717901055</v>
      </c>
      <c r="U21" s="19">
        <f t="shared" si="6"/>
        <v>0.51271573470885867</v>
      </c>
      <c r="V21" s="19">
        <f t="shared" si="7"/>
        <v>0.48232900725198374</v>
      </c>
    </row>
    <row r="22" spans="1:26" x14ac:dyDescent="0.25">
      <c r="B22" s="16">
        <f>+B21+1</f>
        <v>2013</v>
      </c>
      <c r="C22" s="17">
        <v>79.56</v>
      </c>
      <c r="D22" s="18">
        <v>1.9400000000000001E-2</v>
      </c>
      <c r="E22" s="19">
        <f t="shared" si="8"/>
        <v>1.8387193108918458</v>
      </c>
      <c r="F22" s="19">
        <f t="shared" si="4"/>
        <v>1.0831858407079646</v>
      </c>
      <c r="G22" s="19">
        <f t="shared" si="11"/>
        <v>1.0442315264470403</v>
      </c>
      <c r="H22" s="19">
        <f t="shared" si="12"/>
        <v>1.0193465727098014</v>
      </c>
      <c r="I22" s="20">
        <f t="shared" si="13"/>
        <v>1</v>
      </c>
      <c r="J22" s="19">
        <f t="shared" si="14"/>
        <v>0.96471444161513287</v>
      </c>
      <c r="K22" s="19">
        <f t="shared" si="15"/>
        <v>0.9035775127768314</v>
      </c>
      <c r="L22" s="19">
        <f t="shared" si="18"/>
        <v>0.85447320373751479</v>
      </c>
      <c r="M22" s="19">
        <f t="shared" si="19"/>
        <v>0.82088320264135373</v>
      </c>
      <c r="N22" s="19">
        <f t="shared" si="16"/>
        <v>0.79559999999999997</v>
      </c>
      <c r="O22" s="19">
        <f t="shared" si="17"/>
        <v>0.76647398843930636</v>
      </c>
      <c r="P22" s="19">
        <f t="shared" si="2"/>
        <v>0.75432928691989598</v>
      </c>
      <c r="Q22" s="19">
        <f t="shared" si="3"/>
        <v>0.71432697624990149</v>
      </c>
      <c r="R22" s="19">
        <f t="shared" si="9"/>
        <v>0.6314771713666032</v>
      </c>
      <c r="S22" s="19">
        <f t="shared" si="5"/>
        <v>0.57785246281716984</v>
      </c>
      <c r="T22" s="19">
        <f t="shared" si="10"/>
        <v>0.54928941332430603</v>
      </c>
      <c r="U22" s="19">
        <f t="shared" si="6"/>
        <v>0.52263502694986297</v>
      </c>
      <c r="V22" s="19">
        <f t="shared" si="7"/>
        <v>0.49166042046083064</v>
      </c>
    </row>
    <row r="23" spans="1:26" x14ac:dyDescent="0.25">
      <c r="B23" s="16">
        <f>+B22+1</f>
        <v>2014</v>
      </c>
      <c r="C23" s="17">
        <v>82.47</v>
      </c>
      <c r="D23" s="18">
        <v>3.6600000000000001E-2</v>
      </c>
      <c r="E23" s="19">
        <f t="shared" si="8"/>
        <v>1.9059726190202428</v>
      </c>
      <c r="F23" s="19">
        <f t="shared" si="4"/>
        <v>1.1228046289993192</v>
      </c>
      <c r="G23" s="19">
        <f t="shared" si="11"/>
        <v>1.0824255151594697</v>
      </c>
      <c r="H23" s="19">
        <f t="shared" si="12"/>
        <v>1.0566303651505446</v>
      </c>
      <c r="I23" s="19">
        <f t="shared" si="13"/>
        <v>1.03657616892911</v>
      </c>
      <c r="J23" s="20">
        <f t="shared" si="14"/>
        <v>1</v>
      </c>
      <c r="K23" s="19">
        <f t="shared" si="15"/>
        <v>0.93662691652470187</v>
      </c>
      <c r="L23" s="19">
        <f t="shared" si="18"/>
        <v>0.88572655998281602</v>
      </c>
      <c r="M23" s="19">
        <f t="shared" si="19"/>
        <v>0.85090796533223279</v>
      </c>
      <c r="N23" s="19">
        <f t="shared" si="16"/>
        <v>0.82469999999999999</v>
      </c>
      <c r="O23" s="19">
        <f t="shared" si="17"/>
        <v>0.79450867052023122</v>
      </c>
      <c r="P23" s="19">
        <f t="shared" si="2"/>
        <v>0.78191976234645333</v>
      </c>
      <c r="Q23" s="19">
        <f t="shared" si="3"/>
        <v>0.7404543204038383</v>
      </c>
      <c r="R23" s="19">
        <f t="shared" si="9"/>
        <v>0.65457418706138459</v>
      </c>
      <c r="S23" s="19">
        <f t="shared" si="5"/>
        <v>0.59898809211327297</v>
      </c>
      <c r="T23" s="19">
        <f t="shared" si="10"/>
        <v>0.56938031569702752</v>
      </c>
      <c r="U23" s="19">
        <f t="shared" si="6"/>
        <v>0.54175101398385106</v>
      </c>
      <c r="V23" s="19">
        <f t="shared" si="7"/>
        <v>0.50964347505536323</v>
      </c>
    </row>
    <row r="24" spans="1:26" x14ac:dyDescent="0.25">
      <c r="B24" s="16">
        <f>+B23+1</f>
        <v>2015</v>
      </c>
      <c r="C24" s="17">
        <v>88.05</v>
      </c>
      <c r="D24" s="18">
        <v>6.7699999999999996E-2</v>
      </c>
      <c r="E24" s="19">
        <f t="shared" si="8"/>
        <v>2.0349325706891279</v>
      </c>
      <c r="F24" s="19">
        <f t="shared" si="4"/>
        <v>1.1987746766507827</v>
      </c>
      <c r="G24" s="19">
        <f t="shared" si="11"/>
        <v>1.1556634728967057</v>
      </c>
      <c r="H24" s="19">
        <f t="shared" si="12"/>
        <v>1.1281229980781551</v>
      </c>
      <c r="I24" s="19">
        <f t="shared" si="13"/>
        <v>1.1067119155354448</v>
      </c>
      <c r="J24" s="19">
        <f t="shared" si="14"/>
        <v>1.0676609676245907</v>
      </c>
      <c r="K24" s="20">
        <f t="shared" si="15"/>
        <v>1</v>
      </c>
      <c r="L24" s="19">
        <f t="shared" si="18"/>
        <v>0.94565567608205348</v>
      </c>
      <c r="M24" s="19">
        <f t="shared" si="19"/>
        <v>0.90848122162608336</v>
      </c>
      <c r="N24" s="19">
        <f t="shared" si="16"/>
        <v>0.88049999999999995</v>
      </c>
      <c r="O24" s="19">
        <f t="shared" si="17"/>
        <v>0.84826589595375723</v>
      </c>
      <c r="P24" s="19">
        <f t="shared" si="2"/>
        <v>0.83482521007160437</v>
      </c>
      <c r="Q24" s="19">
        <f t="shared" si="3"/>
        <v>0.79055417620417079</v>
      </c>
      <c r="R24" s="19">
        <f t="shared" si="9"/>
        <v>0.69886330994003776</v>
      </c>
      <c r="S24" s="19">
        <f>$C24/$C$32</f>
        <v>0.63951620602126447</v>
      </c>
      <c r="T24" s="19">
        <f t="shared" si="10"/>
        <v>0.6079051388034834</v>
      </c>
      <c r="U24" s="19">
        <f t="shared" si="6"/>
        <v>0.57840641180160168</v>
      </c>
      <c r="V24" s="19">
        <f t="shared" si="7"/>
        <v>0.54412644572116808</v>
      </c>
    </row>
    <row r="25" spans="1:26" x14ac:dyDescent="0.25">
      <c r="B25" s="16">
        <v>2016</v>
      </c>
      <c r="C25" s="17">
        <v>93.11</v>
      </c>
      <c r="D25" s="18">
        <v>5.7500000000000002E-2</v>
      </c>
      <c r="E25" s="19">
        <f t="shared" si="8"/>
        <v>2.1518747490842101</v>
      </c>
      <c r="F25" s="19">
        <f t="shared" si="4"/>
        <v>1.2676650782845473</v>
      </c>
      <c r="G25" s="19">
        <f t="shared" si="11"/>
        <v>1.2220763879774248</v>
      </c>
      <c r="H25" s="19">
        <f t="shared" si="12"/>
        <v>1.1929532351057015</v>
      </c>
      <c r="I25" s="19">
        <f t="shared" si="13"/>
        <v>1.1703117144293615</v>
      </c>
      <c r="J25" s="19">
        <f t="shared" si="14"/>
        <v>1.1290166121013703</v>
      </c>
      <c r="K25" s="19">
        <f t="shared" si="15"/>
        <v>1.0574673480976717</v>
      </c>
      <c r="L25" s="20">
        <v>1</v>
      </c>
      <c r="M25" s="19">
        <f t="shared" si="19"/>
        <v>0.96068922822946756</v>
      </c>
      <c r="N25" s="19">
        <f t="shared" si="16"/>
        <v>0.93110000000000004</v>
      </c>
      <c r="O25" s="19">
        <f t="shared" si="17"/>
        <v>0.89701348747591525</v>
      </c>
      <c r="P25" s="19">
        <f t="shared" si="2"/>
        <v>0.88280040101950119</v>
      </c>
      <c r="Q25" s="19">
        <f t="shared" si="3"/>
        <v>0.83598522823816401</v>
      </c>
      <c r="R25" s="19">
        <f t="shared" si="9"/>
        <v>0.73902513104505296</v>
      </c>
      <c r="S25" s="19">
        <f>$C25/$C$32</f>
        <v>0.6762675064467909</v>
      </c>
      <c r="T25" s="19">
        <f t="shared" si="10"/>
        <v>0.64283983502546671</v>
      </c>
      <c r="U25" s="19">
        <f t="shared" si="6"/>
        <v>0.61164589441052963</v>
      </c>
      <c r="V25" s="19">
        <f t="shared" si="7"/>
        <v>0.57539594958657536</v>
      </c>
    </row>
    <row r="26" spans="1:26" x14ac:dyDescent="0.25">
      <c r="B26" s="16">
        <v>2017</v>
      </c>
      <c r="C26" s="17">
        <v>96.92</v>
      </c>
      <c r="D26" s="18">
        <v>4.0899999999999999E-2</v>
      </c>
      <c r="E26" s="19">
        <f t="shared" si="8"/>
        <v>2.2399280494172662</v>
      </c>
      <c r="F26" s="19">
        <f t="shared" si="4"/>
        <v>1.3195371000680736</v>
      </c>
      <c r="G26" s="19">
        <f t="shared" si="11"/>
        <v>1.2720829505184408</v>
      </c>
      <c r="H26" s="19">
        <f t="shared" si="12"/>
        <v>1.2417680973734786</v>
      </c>
      <c r="I26" s="19">
        <f t="shared" si="13"/>
        <v>1.2182001005530416</v>
      </c>
      <c r="J26" s="19">
        <f t="shared" si="14"/>
        <v>1.1752152297805263</v>
      </c>
      <c r="K26" s="19">
        <f t="shared" si="15"/>
        <v>1.1007382169222033</v>
      </c>
      <c r="L26" s="19">
        <f>C26/$C$25</f>
        <v>1.0409193427129202</v>
      </c>
      <c r="M26" s="20">
        <v>1</v>
      </c>
      <c r="N26" s="19">
        <f t="shared" si="16"/>
        <v>0.96920000000000006</v>
      </c>
      <c r="O26" s="19">
        <f t="shared" si="17"/>
        <v>0.93371868978805395</v>
      </c>
      <c r="P26" s="19">
        <f t="shared" si="2"/>
        <v>0.91892401317592154</v>
      </c>
      <c r="Q26" s="19">
        <f t="shared" si="3"/>
        <v>0.87019319429538022</v>
      </c>
      <c r="R26" s="19">
        <f t="shared" si="9"/>
        <v>0.76926555365574634</v>
      </c>
      <c r="S26" s="19">
        <f t="shared" si="5"/>
        <v>0.70393992830869911</v>
      </c>
      <c r="T26" s="19">
        <f t="shared" si="10"/>
        <v>0.66914441854439088</v>
      </c>
      <c r="U26" s="19">
        <f t="shared" si="6"/>
        <v>0.63667404238286474</v>
      </c>
      <c r="V26" s="19">
        <f t="shared" si="7"/>
        <v>0.59894077364333465</v>
      </c>
    </row>
    <row r="27" spans="1:26" x14ac:dyDescent="0.25">
      <c r="A27" s="25">
        <f>+C27/(1+D27)</f>
        <v>96.91800736576856</v>
      </c>
      <c r="B27" s="16">
        <f>B26+1</f>
        <v>2018</v>
      </c>
      <c r="C27" s="17">
        <v>100</v>
      </c>
      <c r="D27" s="18">
        <v>3.1800000000000002E-2</v>
      </c>
      <c r="E27" s="19">
        <f t="shared" si="8"/>
        <v>2.3111102449620988</v>
      </c>
      <c r="F27" s="19">
        <f t="shared" si="4"/>
        <v>1.3614703880190606</v>
      </c>
      <c r="G27" s="19">
        <f t="shared" si="11"/>
        <v>1.3125082031762698</v>
      </c>
      <c r="H27" s="19">
        <f t="shared" si="12"/>
        <v>1.2812299807815504</v>
      </c>
      <c r="I27" s="19">
        <f t="shared" si="13"/>
        <v>1.2569130216189039</v>
      </c>
      <c r="J27" s="19">
        <f t="shared" si="14"/>
        <v>1.2125621438098704</v>
      </c>
      <c r="K27" s="19">
        <f t="shared" si="15"/>
        <v>1.1357183418512209</v>
      </c>
      <c r="L27" s="19">
        <f t="shared" ref="L27:L41" si="20">C27/$C$25</f>
        <v>1.073998496402105</v>
      </c>
      <c r="M27" s="19">
        <f>+C27/$C$26</f>
        <v>1.0317787866281469</v>
      </c>
      <c r="N27" s="20">
        <v>1</v>
      </c>
      <c r="O27" s="19">
        <f t="shared" si="17"/>
        <v>0.96339113680154143</v>
      </c>
      <c r="P27" s="19">
        <f t="shared" si="2"/>
        <v>0.94812630331811965</v>
      </c>
      <c r="Q27" s="19">
        <f t="shared" si="3"/>
        <v>0.89784687814215869</v>
      </c>
      <c r="R27" s="19">
        <f t="shared" si="9"/>
        <v>0.79371187954575562</v>
      </c>
      <c r="S27" s="19">
        <f t="shared" si="5"/>
        <v>0.72631028508945428</v>
      </c>
      <c r="T27" s="19">
        <f t="shared" si="10"/>
        <v>0.6904090162447285</v>
      </c>
      <c r="U27" s="19">
        <f t="shared" si="6"/>
        <v>0.65690677092742955</v>
      </c>
      <c r="V27" s="19">
        <f t="shared" si="7"/>
        <v>0.6179743846918434</v>
      </c>
    </row>
    <row r="28" spans="1:26" x14ac:dyDescent="0.25">
      <c r="B28" s="16">
        <f t="shared" ref="B28:B42" si="21">B27+1</f>
        <v>2019</v>
      </c>
      <c r="C28" s="17">
        <f t="shared" ref="C28:C59" si="22">C27+(C27*D28)</f>
        <v>103.8</v>
      </c>
      <c r="D28" s="18">
        <v>3.7999999999999999E-2</v>
      </c>
      <c r="E28" s="19">
        <f t="shared" si="8"/>
        <v>2.3989324342706584</v>
      </c>
      <c r="F28" s="19">
        <f t="shared" si="4"/>
        <v>1.4132062627637847</v>
      </c>
      <c r="G28" s="19">
        <f t="shared" si="11"/>
        <v>1.3623835148969681</v>
      </c>
      <c r="H28" s="19">
        <f t="shared" si="12"/>
        <v>1.3299167200512492</v>
      </c>
      <c r="I28" s="19">
        <f t="shared" si="13"/>
        <v>1.3046757164404224</v>
      </c>
      <c r="J28" s="19">
        <f t="shared" si="14"/>
        <v>1.2586395052746453</v>
      </c>
      <c r="K28" s="19">
        <f t="shared" si="15"/>
        <v>1.1788756388415673</v>
      </c>
      <c r="L28" s="19">
        <f t="shared" si="20"/>
        <v>1.114810439265385</v>
      </c>
      <c r="M28" s="19">
        <f t="shared" ref="M28:M41" si="23">+C28/$C$26</f>
        <v>1.0709863805200164</v>
      </c>
      <c r="N28" s="19">
        <f>C28/$C$27</f>
        <v>1.038</v>
      </c>
      <c r="O28" s="20">
        <v>1</v>
      </c>
      <c r="P28" s="19">
        <f t="shared" si="2"/>
        <v>0.98415510284420815</v>
      </c>
      <c r="Q28" s="19">
        <f t="shared" si="3"/>
        <v>0.93196505951156072</v>
      </c>
      <c r="R28" s="19">
        <f t="shared" si="9"/>
        <v>0.82387293096849423</v>
      </c>
      <c r="S28" s="19">
        <f t="shared" si="5"/>
        <v>0.75391007592285353</v>
      </c>
      <c r="T28" s="19">
        <f t="shared" si="10"/>
        <v>0.71664455886202816</v>
      </c>
      <c r="U28" s="19">
        <f t="shared" si="6"/>
        <v>0.68186922822267182</v>
      </c>
      <c r="V28" s="19">
        <f t="shared" si="7"/>
        <v>0.64145741131013345</v>
      </c>
    </row>
    <row r="29" spans="1:26" x14ac:dyDescent="0.25">
      <c r="B29" s="16">
        <f t="shared" si="21"/>
        <v>2020</v>
      </c>
      <c r="C29" s="17">
        <f t="shared" si="22"/>
        <v>105.47118</v>
      </c>
      <c r="D29" s="18">
        <v>1.61E-2</v>
      </c>
      <c r="E29" s="19">
        <f t="shared" si="8"/>
        <v>2.4375552464624159</v>
      </c>
      <c r="F29" s="19">
        <f t="shared" si="4"/>
        <v>1.4359588835942818</v>
      </c>
      <c r="G29" s="19">
        <f t="shared" si="11"/>
        <v>1.3843178894868093</v>
      </c>
      <c r="H29" s="19">
        <f t="shared" si="12"/>
        <v>1.3513283792440745</v>
      </c>
      <c r="I29" s="19">
        <f t="shared" si="13"/>
        <v>1.3256809954751132</v>
      </c>
      <c r="J29" s="19">
        <f t="shared" si="14"/>
        <v>1.2789036013095672</v>
      </c>
      <c r="K29" s="19">
        <f t="shared" si="15"/>
        <v>1.1978555366269166</v>
      </c>
      <c r="L29" s="19">
        <f t="shared" si="20"/>
        <v>1.1327588873375578</v>
      </c>
      <c r="M29" s="19">
        <f t="shared" si="23"/>
        <v>1.0882292612463889</v>
      </c>
      <c r="N29" s="19">
        <f>C29/$C$27</f>
        <v>1.0547118</v>
      </c>
      <c r="O29" s="19">
        <f t="shared" ref="O29:O59" si="24">C29/$C$28</f>
        <v>1.0161</v>
      </c>
      <c r="P29" s="20">
        <f t="shared" si="2"/>
        <v>1</v>
      </c>
      <c r="Q29" s="19">
        <f t="shared" si="3"/>
        <v>0.94696969696969691</v>
      </c>
      <c r="R29" s="19">
        <f t="shared" si="9"/>
        <v>0.83713728515708707</v>
      </c>
      <c r="S29" s="19">
        <f t="shared" si="5"/>
        <v>0.76604802814521156</v>
      </c>
      <c r="T29" s="19">
        <f t="shared" si="10"/>
        <v>0.72818253625970686</v>
      </c>
      <c r="U29" s="19">
        <f t="shared" si="6"/>
        <v>0.69284732279705685</v>
      </c>
      <c r="V29" s="19">
        <f t="shared" si="7"/>
        <v>0.65178487563222665</v>
      </c>
    </row>
    <row r="30" spans="1:26" x14ac:dyDescent="0.25">
      <c r="B30" s="16">
        <f t="shared" si="21"/>
        <v>2021</v>
      </c>
      <c r="C30" s="17">
        <f>C29+(C29*D30)</f>
        <v>111.37756608000001</v>
      </c>
      <c r="D30" s="18">
        <v>5.5999999999999994E-2</v>
      </c>
      <c r="E30" s="19">
        <f t="shared" si="8"/>
        <v>2.5740583402643114</v>
      </c>
      <c r="F30" s="19">
        <f t="shared" si="4"/>
        <v>1.5163725810755617</v>
      </c>
      <c r="G30" s="19">
        <f t="shared" si="11"/>
        <v>1.4618396912980707</v>
      </c>
      <c r="H30" s="19">
        <f t="shared" si="12"/>
        <v>1.4270027684817426</v>
      </c>
      <c r="I30" s="19">
        <f t="shared" si="13"/>
        <v>1.3999191312217196</v>
      </c>
      <c r="J30" s="19">
        <f t="shared" si="14"/>
        <v>1.3505222029829029</v>
      </c>
      <c r="K30" s="19">
        <f t="shared" si="15"/>
        <v>1.264935446678024</v>
      </c>
      <c r="L30" s="19">
        <f t="shared" si="20"/>
        <v>1.196193385028461</v>
      </c>
      <c r="M30" s="19">
        <f t="shared" si="23"/>
        <v>1.1491700998761867</v>
      </c>
      <c r="N30" s="19">
        <f t="shared" ref="N30:N41" si="25">C30/$C$27</f>
        <v>1.1137756608</v>
      </c>
      <c r="O30" s="19">
        <f t="shared" si="24"/>
        <v>1.0730016</v>
      </c>
      <c r="P30" s="19">
        <f t="shared" si="2"/>
        <v>1.056</v>
      </c>
      <c r="Q30" s="20">
        <f t="shared" si="3"/>
        <v>1</v>
      </c>
      <c r="R30" s="19">
        <f t="shared" si="9"/>
        <v>0.88401697312588401</v>
      </c>
      <c r="S30" s="19">
        <f t="shared" si="5"/>
        <v>0.80894671772134341</v>
      </c>
      <c r="T30" s="19">
        <f t="shared" si="10"/>
        <v>0.76896075829025046</v>
      </c>
      <c r="U30" s="19">
        <f t="shared" si="6"/>
        <v>0.73164677287369206</v>
      </c>
      <c r="V30" s="19">
        <f t="shared" si="7"/>
        <v>0.6882848286676313</v>
      </c>
    </row>
    <row r="31" spans="1:26" x14ac:dyDescent="0.25">
      <c r="B31" s="16">
        <f t="shared" si="21"/>
        <v>2022</v>
      </c>
      <c r="C31" s="17">
        <f t="shared" si="22"/>
        <v>125.99030274969601</v>
      </c>
      <c r="D31" s="18">
        <v>0.13120000000000001</v>
      </c>
      <c r="E31" s="19">
        <f t="shared" si="8"/>
        <v>2.9117747945069894</v>
      </c>
      <c r="F31" s="19">
        <f t="shared" si="4"/>
        <v>1.7153206637126754</v>
      </c>
      <c r="G31" s="19">
        <f t="shared" si="11"/>
        <v>1.6536330587963777</v>
      </c>
      <c r="H31" s="19">
        <f t="shared" si="12"/>
        <v>1.6142255317065473</v>
      </c>
      <c r="I31" s="19">
        <f t="shared" si="13"/>
        <v>1.5835885212380092</v>
      </c>
      <c r="J31" s="19">
        <f t="shared" si="14"/>
        <v>1.52771071601426</v>
      </c>
      <c r="K31" s="19">
        <f t="shared" si="15"/>
        <v>1.4308949772821808</v>
      </c>
      <c r="L31" s="19">
        <f t="shared" si="20"/>
        <v>1.3531339571441952</v>
      </c>
      <c r="M31" s="19">
        <f t="shared" si="23"/>
        <v>1.2999412169799422</v>
      </c>
      <c r="N31" s="19">
        <f t="shared" si="25"/>
        <v>1.25990302749696</v>
      </c>
      <c r="O31" s="19">
        <f t="shared" si="24"/>
        <v>1.2137794099200001</v>
      </c>
      <c r="P31" s="19">
        <f t="shared" si="2"/>
        <v>1.1945472000000001</v>
      </c>
      <c r="Q31" s="19">
        <f t="shared" si="3"/>
        <v>1.1312</v>
      </c>
      <c r="R31" s="20">
        <f t="shared" si="9"/>
        <v>1</v>
      </c>
      <c r="S31" s="19">
        <f>$C31/$C$32</f>
        <v>0.91508052708638365</v>
      </c>
      <c r="T31" s="19">
        <f>$C31/$C$33</f>
        <v>0.86984840977793132</v>
      </c>
      <c r="U31" s="19">
        <f t="shared" si="6"/>
        <v>0.82763882947472056</v>
      </c>
      <c r="V31" s="19">
        <f t="shared" si="7"/>
        <v>0.77858779818882462</v>
      </c>
      <c r="Z31" s="28">
        <f>10447/286000</f>
        <v>3.6527972027972026E-2</v>
      </c>
    </row>
    <row r="32" spans="1:26" x14ac:dyDescent="0.25">
      <c r="B32" s="16">
        <f t="shared" si="21"/>
        <v>2023</v>
      </c>
      <c r="C32" s="17">
        <f>C31+(C31*D32)</f>
        <v>137.68220284486779</v>
      </c>
      <c r="D32" s="18">
        <f>9.28%</f>
        <v>9.2799999999999994E-2</v>
      </c>
      <c r="E32" s="19">
        <f>+C32/$C$9</f>
        <v>3.1819874954372374</v>
      </c>
      <c r="F32" s="19">
        <f t="shared" si="4"/>
        <v>1.8745024213052115</v>
      </c>
      <c r="G32" s="19">
        <f t="shared" si="11"/>
        <v>1.8070902066526813</v>
      </c>
      <c r="H32" s="19">
        <f t="shared" si="12"/>
        <v>1.7640256610489147</v>
      </c>
      <c r="I32" s="19">
        <f t="shared" si="13"/>
        <v>1.7305455360088962</v>
      </c>
      <c r="J32" s="19">
        <f t="shared" si="14"/>
        <v>1.6694822704603831</v>
      </c>
      <c r="K32" s="19">
        <f t="shared" si="15"/>
        <v>1.563682031173967</v>
      </c>
      <c r="L32" s="19">
        <f t="shared" si="20"/>
        <v>1.4787047883671764</v>
      </c>
      <c r="M32" s="19">
        <f t="shared" si="23"/>
        <v>1.4205757619156809</v>
      </c>
      <c r="N32" s="19">
        <f t="shared" si="25"/>
        <v>1.3768220284486778</v>
      </c>
      <c r="O32" s="19">
        <f t="shared" si="24"/>
        <v>1.326418139160576</v>
      </c>
      <c r="P32" s="19">
        <f t="shared" si="2"/>
        <v>1.3054011801599998</v>
      </c>
      <c r="Q32" s="19">
        <f>$C32/$C$30</f>
        <v>1.2361753599999998</v>
      </c>
      <c r="R32" s="19">
        <f t="shared" si="9"/>
        <v>1.0927999999999998</v>
      </c>
      <c r="S32" s="20">
        <f t="shared" si="5"/>
        <v>1</v>
      </c>
      <c r="T32" s="19">
        <f>$C32/$C$33</f>
        <v>0.95057034220532322</v>
      </c>
      <c r="U32" s="19">
        <f t="shared" si="6"/>
        <v>0.90444371284997449</v>
      </c>
      <c r="V32" s="19">
        <f t="shared" si="7"/>
        <v>0.85084074586074743</v>
      </c>
    </row>
    <row r="33" spans="2:22" x14ac:dyDescent="0.25">
      <c r="B33" s="16">
        <f t="shared" si="21"/>
        <v>2024</v>
      </c>
      <c r="C33" s="17">
        <f>C32+(C32*D33)</f>
        <v>144.8416773928009</v>
      </c>
      <c r="D33" s="18">
        <v>5.1999999999999998E-2</v>
      </c>
      <c r="E33" s="19">
        <f t="shared" si="8"/>
        <v>3.3474508451999738</v>
      </c>
      <c r="F33" s="19">
        <f t="shared" si="4"/>
        <v>1.9719765472130824</v>
      </c>
      <c r="G33" s="19">
        <f t="shared" si="11"/>
        <v>1.9010588973986207</v>
      </c>
      <c r="H33" s="19">
        <f t="shared" si="12"/>
        <v>1.8557549954234582</v>
      </c>
      <c r="I33" s="19">
        <f t="shared" si="13"/>
        <v>1.8205339038813586</v>
      </c>
      <c r="J33" s="19">
        <f t="shared" si="14"/>
        <v>1.7562953485243229</v>
      </c>
      <c r="K33" s="19">
        <f t="shared" si="15"/>
        <v>1.6449934967950131</v>
      </c>
      <c r="L33" s="19">
        <f t="shared" si="20"/>
        <v>1.5555974373622694</v>
      </c>
      <c r="M33" s="19">
        <f t="shared" si="23"/>
        <v>1.4944457015352961</v>
      </c>
      <c r="N33" s="19">
        <f t="shared" si="25"/>
        <v>1.4484167739280089</v>
      </c>
      <c r="O33" s="19">
        <f t="shared" si="24"/>
        <v>1.3953918823969258</v>
      </c>
      <c r="P33" s="19">
        <f t="shared" si="2"/>
        <v>1.3732820415283198</v>
      </c>
      <c r="Q33" s="19">
        <f t="shared" si="3"/>
        <v>1.3004564787199999</v>
      </c>
      <c r="R33" s="19">
        <f t="shared" si="9"/>
        <v>1.1496255999999998</v>
      </c>
      <c r="S33" s="19">
        <f>$C33/$C$32</f>
        <v>1.0519999999999998</v>
      </c>
      <c r="T33" s="20">
        <f t="shared" si="10"/>
        <v>1</v>
      </c>
      <c r="U33" s="19">
        <f t="shared" si="6"/>
        <v>0.95147478591817314</v>
      </c>
      <c r="V33" s="19">
        <f t="shared" si="7"/>
        <v>0.89508446464550617</v>
      </c>
    </row>
    <row r="34" spans="2:22" x14ac:dyDescent="0.25">
      <c r="B34" s="16">
        <f t="shared" si="21"/>
        <v>2025</v>
      </c>
      <c r="C34" s="17">
        <f>C33+(C33*D34)</f>
        <v>152.22860293983376</v>
      </c>
      <c r="D34" s="40">
        <v>5.0999999999999997E-2</v>
      </c>
      <c r="E34" s="20">
        <f t="shared" si="8"/>
        <v>3.5181708383051729</v>
      </c>
      <c r="F34" s="19">
        <f t="shared" si="4"/>
        <v>2.0725473511209498</v>
      </c>
      <c r="G34" s="19">
        <f t="shared" si="11"/>
        <v>1.9980129011659504</v>
      </c>
      <c r="H34" s="19">
        <f t="shared" si="12"/>
        <v>1.9503985001900548</v>
      </c>
      <c r="I34" s="19">
        <f t="shared" si="13"/>
        <v>1.9133811329793082</v>
      </c>
      <c r="J34" s="19">
        <f t="shared" si="14"/>
        <v>1.8458664112990635</v>
      </c>
      <c r="K34" s="19">
        <f t="shared" si="15"/>
        <v>1.7288881651315591</v>
      </c>
      <c r="L34" s="19">
        <f t="shared" si="20"/>
        <v>1.6349329066677454</v>
      </c>
      <c r="M34" s="19">
        <f t="shared" si="23"/>
        <v>1.5706624323135965</v>
      </c>
      <c r="N34" s="19">
        <f t="shared" si="25"/>
        <v>1.5222860293983376</v>
      </c>
      <c r="O34" s="19">
        <f t="shared" si="24"/>
        <v>1.4665568683991692</v>
      </c>
      <c r="P34" s="19">
        <f t="shared" si="2"/>
        <v>1.4433194256462643</v>
      </c>
      <c r="Q34" s="19">
        <f t="shared" si="3"/>
        <v>1.3667797591347199</v>
      </c>
      <c r="R34" s="19">
        <f t="shared" si="9"/>
        <v>1.2082565055999999</v>
      </c>
      <c r="S34" s="19">
        <f t="shared" si="5"/>
        <v>1.1056520000000001</v>
      </c>
      <c r="T34" s="19">
        <f t="shared" si="10"/>
        <v>1.0510000000000002</v>
      </c>
      <c r="U34" s="20">
        <f t="shared" si="6"/>
        <v>1</v>
      </c>
      <c r="V34" s="19">
        <f t="shared" si="7"/>
        <v>0.94073377234242705</v>
      </c>
    </row>
    <row r="35" spans="2:22" x14ac:dyDescent="0.25">
      <c r="B35" s="16">
        <f t="shared" si="21"/>
        <v>2026</v>
      </c>
      <c r="C35" s="17">
        <f>C34+(C34*D35)</f>
        <v>161.81900492504329</v>
      </c>
      <c r="D35" s="21">
        <v>6.3E-2</v>
      </c>
      <c r="E35" s="20">
        <f>+C35/$C$9</f>
        <v>3.7398156011183983</v>
      </c>
      <c r="F35" s="19">
        <f t="shared" si="4"/>
        <v>2.2031178342415694</v>
      </c>
      <c r="G35" s="19">
        <f t="shared" si="11"/>
        <v>2.1238877139394052</v>
      </c>
      <c r="H35" s="19">
        <f t="shared" si="12"/>
        <v>2.073273605702028</v>
      </c>
      <c r="I35" s="19">
        <f t="shared" si="13"/>
        <v>2.0339241443570044</v>
      </c>
      <c r="J35" s="19">
        <f t="shared" si="14"/>
        <v>1.9621559952109044</v>
      </c>
      <c r="K35" s="19">
        <f t="shared" si="15"/>
        <v>1.8378081195348472</v>
      </c>
      <c r="L35" s="19">
        <f t="shared" si="20"/>
        <v>1.7379336797878133</v>
      </c>
      <c r="M35" s="19">
        <f t="shared" si="23"/>
        <v>1.6696141655493528</v>
      </c>
      <c r="N35" s="19">
        <f t="shared" si="25"/>
        <v>1.6181900492504329</v>
      </c>
      <c r="O35" s="19">
        <f>C35/$C$28</f>
        <v>1.5589499511083169</v>
      </c>
      <c r="P35" s="19">
        <f t="shared" si="2"/>
        <v>1.5342485494619789</v>
      </c>
      <c r="Q35" s="19">
        <f t="shared" si="3"/>
        <v>1.4528868839602072</v>
      </c>
      <c r="R35" s="19">
        <f t="shared" si="9"/>
        <v>1.2843766654527999</v>
      </c>
      <c r="S35" s="19">
        <f t="shared" si="5"/>
        <v>1.1753080760000001</v>
      </c>
      <c r="T35" s="19">
        <f t="shared" si="10"/>
        <v>1.117213</v>
      </c>
      <c r="U35" s="19">
        <f>$C35/$C$34</f>
        <v>1.0629999999999999</v>
      </c>
      <c r="V35" s="20">
        <f t="shared" si="7"/>
        <v>1</v>
      </c>
    </row>
    <row r="36" spans="2:22" x14ac:dyDescent="0.25">
      <c r="B36" s="16">
        <f t="shared" si="21"/>
        <v>2027</v>
      </c>
      <c r="C36" s="17">
        <f t="shared" si="22"/>
        <v>167.8063081072699</v>
      </c>
      <c r="D36" s="21">
        <v>3.6999999999999998E-2</v>
      </c>
      <c r="E36" s="20">
        <f t="shared" si="8"/>
        <v>3.8781887783597795</v>
      </c>
      <c r="F36" s="19">
        <f t="shared" si="4"/>
        <v>2.2846331941085078</v>
      </c>
      <c r="G36" s="19">
        <f t="shared" si="11"/>
        <v>2.2024715593551636</v>
      </c>
      <c r="H36" s="19">
        <f t="shared" si="12"/>
        <v>2.1499847291130032</v>
      </c>
      <c r="I36" s="19">
        <f t="shared" si="13"/>
        <v>2.109179337698214</v>
      </c>
      <c r="J36" s="19">
        <f t="shared" si="14"/>
        <v>2.0347557670337082</v>
      </c>
      <c r="K36" s="19">
        <f t="shared" si="15"/>
        <v>1.9058070199576367</v>
      </c>
      <c r="L36" s="19">
        <f t="shared" si="20"/>
        <v>1.8022372259399624</v>
      </c>
      <c r="M36" s="19">
        <f t="shared" si="23"/>
        <v>1.7313898896746791</v>
      </c>
      <c r="N36" s="19">
        <f t="shared" si="25"/>
        <v>1.6780630810726991</v>
      </c>
      <c r="O36" s="19">
        <f t="shared" si="24"/>
        <v>1.6166310992993247</v>
      </c>
      <c r="P36" s="19">
        <f t="shared" si="2"/>
        <v>1.5910157457920722</v>
      </c>
      <c r="Q36" s="19">
        <f t="shared" si="3"/>
        <v>1.5066436986667351</v>
      </c>
      <c r="R36" s="19">
        <f t="shared" si="9"/>
        <v>1.3318986020745536</v>
      </c>
      <c r="S36" s="19">
        <f t="shared" si="5"/>
        <v>1.2187944748120001</v>
      </c>
      <c r="T36" s="19">
        <f>$C36/$C$33</f>
        <v>1.1585498810000001</v>
      </c>
      <c r="U36" s="19">
        <f t="shared" si="6"/>
        <v>1.1023309999999999</v>
      </c>
      <c r="V36" s="19">
        <f>$C36/$C$35</f>
        <v>1.0370000000000001</v>
      </c>
    </row>
    <row r="37" spans="2:22" x14ac:dyDescent="0.25">
      <c r="B37" s="16">
        <f t="shared" si="21"/>
        <v>2028</v>
      </c>
      <c r="C37" s="17">
        <f t="shared" si="22"/>
        <v>172.84049735048799</v>
      </c>
      <c r="D37" s="21">
        <v>0.03</v>
      </c>
      <c r="E37" s="20">
        <f t="shared" si="8"/>
        <v>3.9945344417105728</v>
      </c>
      <c r="F37" s="19">
        <f t="shared" si="4"/>
        <v>2.353172189931763</v>
      </c>
      <c r="G37" s="19">
        <f t="shared" si="11"/>
        <v>2.2685457061358183</v>
      </c>
      <c r="H37" s="19">
        <f t="shared" si="12"/>
        <v>2.2144842709863934</v>
      </c>
      <c r="I37" s="19">
        <f t="shared" si="13"/>
        <v>2.1724547178291602</v>
      </c>
      <c r="J37" s="19">
        <f t="shared" si="14"/>
        <v>2.0957984400447192</v>
      </c>
      <c r="K37" s="19">
        <f t="shared" si="15"/>
        <v>1.9629812305563656</v>
      </c>
      <c r="L37" s="19">
        <f t="shared" si="20"/>
        <v>1.8563043427181614</v>
      </c>
      <c r="M37" s="19">
        <f t="shared" si="23"/>
        <v>1.7833315863649195</v>
      </c>
      <c r="N37" s="19">
        <f t="shared" si="25"/>
        <v>1.7284049735048799</v>
      </c>
      <c r="O37" s="19">
        <f t="shared" si="24"/>
        <v>1.6651300322783045</v>
      </c>
      <c r="P37" s="19">
        <f t="shared" si="2"/>
        <v>1.6387462181658343</v>
      </c>
      <c r="Q37" s="19">
        <f t="shared" si="3"/>
        <v>1.551843009626737</v>
      </c>
      <c r="R37" s="19">
        <f t="shared" si="9"/>
        <v>1.3718555601367901</v>
      </c>
      <c r="S37" s="19">
        <f t="shared" si="5"/>
        <v>1.25535830905636</v>
      </c>
      <c r="T37" s="19">
        <f t="shared" si="10"/>
        <v>1.1933063774300001</v>
      </c>
      <c r="U37" s="19">
        <f t="shared" si="6"/>
        <v>1.1354009300000001</v>
      </c>
      <c r="V37" s="19">
        <f t="shared" si="7"/>
        <v>1.0681100000000001</v>
      </c>
    </row>
    <row r="38" spans="2:22" x14ac:dyDescent="0.25">
      <c r="B38" s="16">
        <f t="shared" si="21"/>
        <v>2029</v>
      </c>
      <c r="C38" s="17">
        <f t="shared" si="22"/>
        <v>178.02571227100265</v>
      </c>
      <c r="D38" s="21">
        <v>0.03</v>
      </c>
      <c r="E38" s="20">
        <f t="shared" si="8"/>
        <v>4.1143704749618903</v>
      </c>
      <c r="F38" s="19">
        <f t="shared" si="4"/>
        <v>2.4237673556297161</v>
      </c>
      <c r="G38" s="19">
        <f t="shared" si="11"/>
        <v>2.3366020773198932</v>
      </c>
      <c r="H38" s="19">
        <f t="shared" si="12"/>
        <v>2.2809187991159852</v>
      </c>
      <c r="I38" s="19">
        <f t="shared" si="13"/>
        <v>2.2376283593640354</v>
      </c>
      <c r="J38" s="19">
        <f t="shared" si="14"/>
        <v>2.1586723932460612</v>
      </c>
      <c r="K38" s="19">
        <f t="shared" si="15"/>
        <v>2.0218706674730567</v>
      </c>
      <c r="L38" s="19">
        <f t="shared" si="20"/>
        <v>1.9119934729997063</v>
      </c>
      <c r="M38" s="19">
        <f t="shared" si="23"/>
        <v>1.8368315339558672</v>
      </c>
      <c r="N38" s="19">
        <f t="shared" si="25"/>
        <v>1.7802571227100266</v>
      </c>
      <c r="O38" s="19">
        <f t="shared" si="24"/>
        <v>1.7150839332466536</v>
      </c>
      <c r="P38" s="19">
        <f t="shared" si="2"/>
        <v>1.6879086047108096</v>
      </c>
      <c r="Q38" s="19">
        <f t="shared" si="3"/>
        <v>1.5983982999155393</v>
      </c>
      <c r="R38" s="19">
        <f t="shared" si="9"/>
        <v>1.4130112269408939</v>
      </c>
      <c r="S38" s="19">
        <f t="shared" si="5"/>
        <v>1.293019058328051</v>
      </c>
      <c r="T38" s="19">
        <f t="shared" si="10"/>
        <v>1.2291055687529002</v>
      </c>
      <c r="U38" s="19">
        <f t="shared" si="6"/>
        <v>1.1694629579000002</v>
      </c>
      <c r="V38" s="19">
        <f t="shared" si="7"/>
        <v>1.1001533000000001</v>
      </c>
    </row>
    <row r="39" spans="2:22" x14ac:dyDescent="0.25">
      <c r="B39" s="16">
        <f t="shared" si="21"/>
        <v>2030</v>
      </c>
      <c r="C39" s="17">
        <f t="shared" si="22"/>
        <v>183.36648363913272</v>
      </c>
      <c r="D39" s="21">
        <v>0.03</v>
      </c>
      <c r="E39" s="20">
        <f t="shared" si="8"/>
        <v>4.237801589210747</v>
      </c>
      <c r="F39" s="19">
        <f t="shared" si="4"/>
        <v>2.4964803762986074</v>
      </c>
      <c r="G39" s="19">
        <f t="shared" si="11"/>
        <v>2.40670013963949</v>
      </c>
      <c r="H39" s="19">
        <f t="shared" si="12"/>
        <v>2.3493463630894649</v>
      </c>
      <c r="I39" s="19">
        <f t="shared" si="13"/>
        <v>2.304757210144956</v>
      </c>
      <c r="J39" s="19">
        <f t="shared" si="14"/>
        <v>2.223432565043443</v>
      </c>
      <c r="K39" s="19">
        <f t="shared" si="15"/>
        <v>2.0825267874972484</v>
      </c>
      <c r="L39" s="19">
        <f t="shared" si="20"/>
        <v>1.9693532771896973</v>
      </c>
      <c r="M39" s="19">
        <f t="shared" si="23"/>
        <v>1.8919364799745431</v>
      </c>
      <c r="N39" s="19">
        <f t="shared" si="25"/>
        <v>1.8336648363913273</v>
      </c>
      <c r="O39" s="19">
        <f t="shared" si="24"/>
        <v>1.7665364512440533</v>
      </c>
      <c r="P39" s="19">
        <f t="shared" si="2"/>
        <v>1.7385458628521337</v>
      </c>
      <c r="Q39" s="19">
        <f t="shared" si="3"/>
        <v>1.6463502489130055</v>
      </c>
      <c r="R39" s="19">
        <f t="shared" si="9"/>
        <v>1.4554015637491207</v>
      </c>
      <c r="S39" s="19">
        <f t="shared" si="5"/>
        <v>1.3318096300778925</v>
      </c>
      <c r="T39" s="19">
        <f t="shared" si="10"/>
        <v>1.2659787358154873</v>
      </c>
      <c r="U39" s="19">
        <f t="shared" si="6"/>
        <v>1.2045468466370002</v>
      </c>
      <c r="V39" s="19">
        <f t="shared" si="7"/>
        <v>1.1331578990000002</v>
      </c>
    </row>
    <row r="40" spans="2:22" x14ac:dyDescent="0.25">
      <c r="B40" s="16">
        <f t="shared" si="21"/>
        <v>2031</v>
      </c>
      <c r="C40" s="17">
        <f t="shared" si="22"/>
        <v>188.8674781483067</v>
      </c>
      <c r="D40" s="21">
        <v>0.03</v>
      </c>
      <c r="E40" s="20">
        <f t="shared" si="8"/>
        <v>4.3649356368870693</v>
      </c>
      <c r="F40" s="19">
        <f t="shared" si="4"/>
        <v>2.5713747875875654</v>
      </c>
      <c r="G40" s="19">
        <f t="shared" si="11"/>
        <v>2.4789011438286743</v>
      </c>
      <c r="H40" s="19">
        <f t="shared" si="12"/>
        <v>2.4198267539821487</v>
      </c>
      <c r="I40" s="19">
        <f t="shared" si="13"/>
        <v>2.373899926449305</v>
      </c>
      <c r="J40" s="19">
        <f t="shared" si="14"/>
        <v>2.2901355419947462</v>
      </c>
      <c r="K40" s="19">
        <f t="shared" si="15"/>
        <v>2.1450025911221657</v>
      </c>
      <c r="L40" s="19">
        <f t="shared" si="20"/>
        <v>2.0284338755053883</v>
      </c>
      <c r="M40" s="19">
        <f t="shared" si="23"/>
        <v>1.9486945743737794</v>
      </c>
      <c r="N40" s="19">
        <f t="shared" si="25"/>
        <v>1.8886747814830671</v>
      </c>
      <c r="O40" s="19">
        <f t="shared" si="24"/>
        <v>1.8195325447813748</v>
      </c>
      <c r="P40" s="19">
        <f t="shared" si="2"/>
        <v>1.7907022387376978</v>
      </c>
      <c r="Q40" s="19">
        <f t="shared" si="3"/>
        <v>1.6957407563803955</v>
      </c>
      <c r="R40" s="19">
        <f t="shared" si="9"/>
        <v>1.4990636106615944</v>
      </c>
      <c r="S40" s="19">
        <f t="shared" si="5"/>
        <v>1.3717639189802293</v>
      </c>
      <c r="T40" s="19">
        <f t="shared" si="10"/>
        <v>1.3039580978899519</v>
      </c>
      <c r="U40" s="19">
        <f t="shared" si="6"/>
        <v>1.2406832520361102</v>
      </c>
      <c r="V40" s="19">
        <f t="shared" si="7"/>
        <v>1.1671526359700002</v>
      </c>
    </row>
    <row r="41" spans="2:22" x14ac:dyDescent="0.25">
      <c r="B41" s="16">
        <f t="shared" si="21"/>
        <v>2032</v>
      </c>
      <c r="C41" s="17">
        <f t="shared" si="22"/>
        <v>194.5335024927559</v>
      </c>
      <c r="D41" s="21">
        <v>0.03</v>
      </c>
      <c r="E41" s="20">
        <f t="shared" si="8"/>
        <v>4.4958837059936814</v>
      </c>
      <c r="F41" s="19">
        <f t="shared" si="4"/>
        <v>2.6485160312151925</v>
      </c>
      <c r="G41" s="19">
        <f t="shared" si="11"/>
        <v>2.5532681781435347</v>
      </c>
      <c r="H41" s="19">
        <f t="shared" si="12"/>
        <v>2.492421556601613</v>
      </c>
      <c r="I41" s="19">
        <f t="shared" si="13"/>
        <v>2.4451169242427842</v>
      </c>
      <c r="J41" s="19">
        <f t="shared" si="14"/>
        <v>2.3588396082545882</v>
      </c>
      <c r="K41" s="19">
        <f t="shared" si="15"/>
        <v>2.2093526688558307</v>
      </c>
      <c r="L41" s="19">
        <f t="shared" si="20"/>
        <v>2.0892868917705498</v>
      </c>
      <c r="M41" s="19">
        <f t="shared" si="23"/>
        <v>2.0071554116049928</v>
      </c>
      <c r="N41" s="19">
        <f t="shared" si="25"/>
        <v>1.9453350249275589</v>
      </c>
      <c r="O41" s="19">
        <f t="shared" si="24"/>
        <v>1.8741185211248161</v>
      </c>
      <c r="P41" s="19">
        <f t="shared" si="2"/>
        <v>1.8444233058998287</v>
      </c>
      <c r="Q41" s="19">
        <f t="shared" si="3"/>
        <v>1.7466129790718075</v>
      </c>
      <c r="R41" s="19">
        <f t="shared" si="9"/>
        <v>1.5440355189814421</v>
      </c>
      <c r="S41" s="19">
        <f t="shared" si="5"/>
        <v>1.4129168365496361</v>
      </c>
      <c r="T41" s="19">
        <f t="shared" si="10"/>
        <v>1.3430768408266505</v>
      </c>
      <c r="U41" s="19">
        <f t="shared" si="6"/>
        <v>1.2779037495971934</v>
      </c>
      <c r="V41" s="19">
        <f t="shared" si="7"/>
        <v>1.2021672150491001</v>
      </c>
    </row>
    <row r="42" spans="2:22" x14ac:dyDescent="0.25">
      <c r="B42" s="16">
        <f t="shared" si="21"/>
        <v>2033</v>
      </c>
      <c r="C42" s="17">
        <f t="shared" si="22"/>
        <v>200.36950756753859</v>
      </c>
      <c r="D42" s="21">
        <v>0.03</v>
      </c>
      <c r="E42" s="20">
        <f t="shared" si="8"/>
        <v>4.6307602171734921</v>
      </c>
      <c r="F42" s="19">
        <f t="shared" ref="F42" si="26">+C42/$C$19</f>
        <v>2.7279715121516483</v>
      </c>
      <c r="G42" s="19">
        <f t="shared" ref="G42" si="27">+C42/$C$20</f>
        <v>2.6298662234878409</v>
      </c>
      <c r="H42" s="19">
        <f t="shared" ref="H42" si="28">+C42/$C$21</f>
        <v>2.5671942032996617</v>
      </c>
      <c r="I42" s="19">
        <f t="shared" ref="I42" si="29">+C42/$C$22</f>
        <v>2.5184704319700675</v>
      </c>
      <c r="J42" s="19">
        <f t="shared" ref="J42" si="30">+C42/$C$23</f>
        <v>2.4296047965022263</v>
      </c>
      <c r="K42" s="19">
        <f t="shared" ref="K42" si="31">+C42/$C$24</f>
        <v>2.2756332489215061</v>
      </c>
      <c r="L42" s="19">
        <f t="shared" ref="L42" si="32">C42/$C$25</f>
        <v>2.1519654985236665</v>
      </c>
      <c r="M42" s="19">
        <f t="shared" ref="M42" si="33">+C42/$C$26</f>
        <v>2.0673700739531427</v>
      </c>
      <c r="N42" s="19">
        <f t="shared" ref="N42" si="34">C42/$C$27</f>
        <v>2.003695075675386</v>
      </c>
      <c r="O42" s="19">
        <f t="shared" si="24"/>
        <v>1.9303420767585606</v>
      </c>
      <c r="P42" s="19">
        <f t="shared" si="2"/>
        <v>1.8997560050768236</v>
      </c>
      <c r="Q42" s="19">
        <f t="shared" si="3"/>
        <v>1.7990113684439617</v>
      </c>
      <c r="R42" s="19">
        <f t="shared" si="9"/>
        <v>1.5903565845508856</v>
      </c>
      <c r="S42" s="19">
        <f t="shared" si="5"/>
        <v>1.4553043416461253</v>
      </c>
      <c r="T42" s="19">
        <f t="shared" si="10"/>
        <v>1.3833691460514499</v>
      </c>
      <c r="U42" s="19">
        <f t="shared" si="6"/>
        <v>1.3162408620851092</v>
      </c>
      <c r="V42" s="19">
        <f t="shared" si="7"/>
        <v>1.2382322315005732</v>
      </c>
    </row>
    <row r="43" spans="2:22" x14ac:dyDescent="0.25">
      <c r="B43" s="16">
        <f>B42+1</f>
        <v>2034</v>
      </c>
      <c r="C43" s="17">
        <f t="shared" si="22"/>
        <v>206.38059279456473</v>
      </c>
      <c r="D43" s="21">
        <v>0.03</v>
      </c>
      <c r="E43" s="20">
        <f t="shared" si="8"/>
        <v>4.769683023688696</v>
      </c>
      <c r="F43" s="19">
        <f t="shared" ref="F43:F58" si="35">+C43/$C$19</f>
        <v>2.8098106575161976</v>
      </c>
      <c r="G43" s="19">
        <f t="shared" ref="G43:G59" si="36">+C43/$C$20</f>
        <v>2.708762210192476</v>
      </c>
      <c r="H43" s="19">
        <f t="shared" ref="H43:H59" si="37">+C43/$C$21</f>
        <v>2.6442100293986512</v>
      </c>
      <c r="I43" s="19">
        <f t="shared" ref="I43:I59" si="38">+C43/$C$22</f>
        <v>2.5940245449291695</v>
      </c>
      <c r="J43" s="19">
        <f t="shared" ref="J43:J59" si="39">+C43/$C$23</f>
        <v>2.5024929403972926</v>
      </c>
      <c r="K43" s="19">
        <f t="shared" ref="K43:K59" si="40">+C43/$C$24</f>
        <v>2.3439022463891508</v>
      </c>
      <c r="L43" s="19">
        <f t="shared" ref="L43:L59" si="41">C43/$C$25</f>
        <v>2.2165244634793764</v>
      </c>
      <c r="M43" s="19">
        <f t="shared" ref="M43:M59" si="42">+C43/$C$26</f>
        <v>2.1293911761717368</v>
      </c>
      <c r="N43" s="19">
        <f t="shared" ref="N43:N59" si="43">C43/$C$27</f>
        <v>2.0638059279456473</v>
      </c>
      <c r="O43" s="19">
        <f t="shared" si="24"/>
        <v>1.9882523390613174</v>
      </c>
      <c r="P43" s="19">
        <f t="shared" si="2"/>
        <v>1.9567486852291283</v>
      </c>
      <c r="Q43" s="19">
        <f t="shared" si="3"/>
        <v>1.8529817094972805</v>
      </c>
      <c r="R43" s="19">
        <f t="shared" si="9"/>
        <v>1.638067282087412</v>
      </c>
      <c r="S43" s="19">
        <f t="shared" si="5"/>
        <v>1.4989634718955089</v>
      </c>
      <c r="T43" s="19">
        <f t="shared" si="10"/>
        <v>1.4248702204329933</v>
      </c>
      <c r="U43" s="19">
        <f t="shared" si="6"/>
        <v>1.3557280879476625</v>
      </c>
      <c r="V43" s="19">
        <f t="shared" si="7"/>
        <v>1.2753791984455902</v>
      </c>
    </row>
    <row r="44" spans="2:22" x14ac:dyDescent="0.25">
      <c r="B44" s="16">
        <f>B43+1</f>
        <v>2035</v>
      </c>
      <c r="C44" s="17">
        <f t="shared" si="22"/>
        <v>212.57201057840169</v>
      </c>
      <c r="D44" s="21">
        <v>0.03</v>
      </c>
      <c r="E44" s="20">
        <f t="shared" si="8"/>
        <v>4.9127735143993574</v>
      </c>
      <c r="F44" s="19">
        <f t="shared" si="35"/>
        <v>2.894104977241684</v>
      </c>
      <c r="G44" s="19">
        <f t="shared" si="36"/>
        <v>2.7900250764982504</v>
      </c>
      <c r="H44" s="19">
        <f t="shared" si="37"/>
        <v>2.723536330280611</v>
      </c>
      <c r="I44" s="19">
        <f t="shared" si="38"/>
        <v>2.6718452812770446</v>
      </c>
      <c r="J44" s="19">
        <f t="shared" si="39"/>
        <v>2.5775677286092118</v>
      </c>
      <c r="K44" s="19">
        <f t="shared" si="40"/>
        <v>2.4142193137808254</v>
      </c>
      <c r="L44" s="19">
        <f t="shared" si="41"/>
        <v>2.2830201973837578</v>
      </c>
      <c r="M44" s="19">
        <f t="shared" si="42"/>
        <v>2.193272911456889</v>
      </c>
      <c r="N44" s="19">
        <f t="shared" si="43"/>
        <v>2.1257201057840169</v>
      </c>
      <c r="O44" s="19">
        <f t="shared" si="24"/>
        <v>2.0478999092331569</v>
      </c>
      <c r="P44" s="19">
        <f t="shared" si="2"/>
        <v>2.015451145786002</v>
      </c>
      <c r="Q44" s="19">
        <f t="shared" si="3"/>
        <v>1.9085711607821989</v>
      </c>
      <c r="R44" s="19">
        <f t="shared" si="9"/>
        <v>1.6872093005500344</v>
      </c>
      <c r="S44" s="19">
        <f t="shared" si="5"/>
        <v>1.5439323760523742</v>
      </c>
      <c r="T44" s="19">
        <f t="shared" si="10"/>
        <v>1.4676163270459832</v>
      </c>
      <c r="U44" s="19">
        <f t="shared" si="6"/>
        <v>1.3963999305860924</v>
      </c>
      <c r="V44" s="19">
        <f t="shared" si="7"/>
        <v>1.3136405743989581</v>
      </c>
    </row>
    <row r="45" spans="2:22" x14ac:dyDescent="0.25">
      <c r="B45" s="16">
        <f>B44+1</f>
        <v>2036</v>
      </c>
      <c r="C45" s="17">
        <f t="shared" si="22"/>
        <v>218.94917089575375</v>
      </c>
      <c r="D45" s="21">
        <v>0.03</v>
      </c>
      <c r="E45" s="20">
        <f t="shared" si="8"/>
        <v>5.0601567198313386</v>
      </c>
      <c r="F45" s="19">
        <f t="shared" si="35"/>
        <v>2.9809281265589345</v>
      </c>
      <c r="G45" s="19">
        <f t="shared" si="36"/>
        <v>2.8737258287931979</v>
      </c>
      <c r="H45" s="19">
        <f t="shared" si="37"/>
        <v>2.8052424201890296</v>
      </c>
      <c r="I45" s="19">
        <f t="shared" si="38"/>
        <v>2.7520006397153565</v>
      </c>
      <c r="J45" s="19">
        <f t="shared" si="39"/>
        <v>2.6548947604674882</v>
      </c>
      <c r="K45" s="19">
        <f t="shared" si="40"/>
        <v>2.4866458931942503</v>
      </c>
      <c r="L45" s="19">
        <f t="shared" si="41"/>
        <v>2.3515108033052705</v>
      </c>
      <c r="M45" s="19">
        <f t="shared" si="42"/>
        <v>2.2590710988005958</v>
      </c>
      <c r="N45" s="19">
        <f t="shared" si="43"/>
        <v>2.1894917089575374</v>
      </c>
      <c r="O45" s="19">
        <f t="shared" si="24"/>
        <v>2.1093369065101517</v>
      </c>
      <c r="P45" s="19">
        <f t="shared" si="2"/>
        <v>2.0759146801595825</v>
      </c>
      <c r="Q45" s="19">
        <f t="shared" si="3"/>
        <v>1.9658282956056652</v>
      </c>
      <c r="R45" s="19">
        <f t="shared" si="9"/>
        <v>1.7378255795665356</v>
      </c>
      <c r="S45" s="19">
        <f t="shared" si="5"/>
        <v>1.5902503473339455</v>
      </c>
      <c r="T45" s="19">
        <f t="shared" si="10"/>
        <v>1.5116448168573628</v>
      </c>
      <c r="U45" s="19">
        <f t="shared" si="6"/>
        <v>1.4382919285036753</v>
      </c>
      <c r="V45" s="19">
        <f t="shared" si="7"/>
        <v>1.353049791630927</v>
      </c>
    </row>
    <row r="46" spans="2:22" x14ac:dyDescent="0.25">
      <c r="B46" s="16">
        <f>B45+1</f>
        <v>2037</v>
      </c>
      <c r="C46" s="17">
        <f t="shared" si="22"/>
        <v>225.51764602262637</v>
      </c>
      <c r="D46" s="21">
        <v>0.03</v>
      </c>
      <c r="E46" s="20">
        <f t="shared" si="8"/>
        <v>5.2119614214262793</v>
      </c>
      <c r="F46" s="19">
        <f t="shared" si="35"/>
        <v>3.0703559703557026</v>
      </c>
      <c r="G46" s="19">
        <f t="shared" si="36"/>
        <v>2.9599376036569942</v>
      </c>
      <c r="H46" s="19">
        <f t="shared" si="37"/>
        <v>2.8893996927947003</v>
      </c>
      <c r="I46" s="19">
        <f t="shared" si="38"/>
        <v>2.8345606589068169</v>
      </c>
      <c r="J46" s="19">
        <f t="shared" si="39"/>
        <v>2.7345416032815129</v>
      </c>
      <c r="K46" s="19">
        <f t="shared" si="40"/>
        <v>2.5612452699900778</v>
      </c>
      <c r="L46" s="19">
        <f t="shared" si="41"/>
        <v>2.4220561274044288</v>
      </c>
      <c r="M46" s="19">
        <f t="shared" si="42"/>
        <v>2.3268432317646139</v>
      </c>
      <c r="N46" s="19">
        <f t="shared" si="43"/>
        <v>2.2551764602262638</v>
      </c>
      <c r="O46" s="19">
        <f t="shared" si="24"/>
        <v>2.1726170137054566</v>
      </c>
      <c r="P46" s="19">
        <f t="shared" si="2"/>
        <v>2.1381921205643697</v>
      </c>
      <c r="Q46" s="19">
        <f t="shared" si="3"/>
        <v>2.024803144473835</v>
      </c>
      <c r="R46" s="19">
        <f t="shared" si="9"/>
        <v>1.7899603469535317</v>
      </c>
      <c r="S46" s="19">
        <f t="shared" si="5"/>
        <v>1.637957857753964</v>
      </c>
      <c r="T46" s="19">
        <f t="shared" si="10"/>
        <v>1.5569941613630838</v>
      </c>
      <c r="U46" s="19">
        <f t="shared" si="6"/>
        <v>1.4814406863587855</v>
      </c>
      <c r="V46" s="19">
        <f t="shared" si="7"/>
        <v>1.3936412853798548</v>
      </c>
    </row>
    <row r="47" spans="2:22" x14ac:dyDescent="0.25">
      <c r="B47" s="16">
        <f t="shared" ref="B47:B55" si="44">B46+1</f>
        <v>2038</v>
      </c>
      <c r="C47" s="17">
        <f t="shared" si="22"/>
        <v>232.28317540330517</v>
      </c>
      <c r="D47" s="21">
        <v>0.03</v>
      </c>
      <c r="E47" s="20">
        <f t="shared" si="8"/>
        <v>5.3683202640690677</v>
      </c>
      <c r="F47" s="19">
        <f t="shared" si="35"/>
        <v>3.1624666494663738</v>
      </c>
      <c r="G47" s="19">
        <f t="shared" si="36"/>
        <v>3.0487357317667039</v>
      </c>
      <c r="H47" s="19">
        <f t="shared" si="37"/>
        <v>2.9760816835785415</v>
      </c>
      <c r="I47" s="19">
        <f t="shared" si="38"/>
        <v>2.9195974786740218</v>
      </c>
      <c r="J47" s="19">
        <f t="shared" si="39"/>
        <v>2.8165778513799582</v>
      </c>
      <c r="K47" s="19">
        <f t="shared" si="40"/>
        <v>2.6380826280897804</v>
      </c>
      <c r="L47" s="19">
        <f t="shared" si="41"/>
        <v>2.4947178112265616</v>
      </c>
      <c r="M47" s="19">
        <f t="shared" si="42"/>
        <v>2.3966485287175523</v>
      </c>
      <c r="N47" s="19">
        <f t="shared" si="43"/>
        <v>2.3228317540330519</v>
      </c>
      <c r="O47" s="19">
        <f t="shared" si="24"/>
        <v>2.2377955241166201</v>
      </c>
      <c r="P47" s="19">
        <f t="shared" si="2"/>
        <v>2.2023378841813011</v>
      </c>
      <c r="Q47" s="19">
        <f t="shared" si="3"/>
        <v>2.0855472388080503</v>
      </c>
      <c r="R47" s="19">
        <f t="shared" si="9"/>
        <v>1.8436591573621377</v>
      </c>
      <c r="S47" s="19">
        <f t="shared" si="5"/>
        <v>1.6870965934865829</v>
      </c>
      <c r="T47" s="19">
        <f t="shared" si="10"/>
        <v>1.6037039862039764</v>
      </c>
      <c r="U47" s="19">
        <f t="shared" si="6"/>
        <v>1.5258839069495491</v>
      </c>
      <c r="V47" s="19">
        <f t="shared" si="7"/>
        <v>1.4354505239412505</v>
      </c>
    </row>
    <row r="48" spans="2:22" x14ac:dyDescent="0.25">
      <c r="B48" s="16">
        <f t="shared" si="44"/>
        <v>2039</v>
      </c>
      <c r="C48" s="17">
        <f t="shared" si="22"/>
        <v>239.25167066540433</v>
      </c>
      <c r="D48" s="21">
        <v>0.03</v>
      </c>
      <c r="E48" s="20">
        <f t="shared" si="8"/>
        <v>5.5293698719911397</v>
      </c>
      <c r="F48" s="19">
        <f t="shared" si="35"/>
        <v>3.2573406489503651</v>
      </c>
      <c r="G48" s="19">
        <f t="shared" si="36"/>
        <v>3.1401978037197051</v>
      </c>
      <c r="H48" s="19">
        <f t="shared" si="37"/>
        <v>3.0653641340858981</v>
      </c>
      <c r="I48" s="19">
        <f t="shared" si="38"/>
        <v>3.0071854030342422</v>
      </c>
      <c r="J48" s="19">
        <f t="shared" si="39"/>
        <v>2.9010751869213571</v>
      </c>
      <c r="K48" s="19">
        <f t="shared" si="40"/>
        <v>2.717225106932474</v>
      </c>
      <c r="L48" s="19">
        <f t="shared" si="41"/>
        <v>2.5695593455633587</v>
      </c>
      <c r="M48" s="19">
        <f t="shared" si="42"/>
        <v>2.4685479845790788</v>
      </c>
      <c r="N48" s="19">
        <f t="shared" si="43"/>
        <v>2.3925167066540434</v>
      </c>
      <c r="O48" s="19">
        <f t="shared" si="24"/>
        <v>2.3049293898401189</v>
      </c>
      <c r="P48" s="19">
        <f t="shared" si="2"/>
        <v>2.2684080207067403</v>
      </c>
      <c r="Q48" s="19">
        <f t="shared" si="3"/>
        <v>2.148113655972292</v>
      </c>
      <c r="R48" s="19">
        <f t="shared" si="9"/>
        <v>1.8989689320830019</v>
      </c>
      <c r="S48" s="19">
        <f t="shared" si="5"/>
        <v>1.7377094912911806</v>
      </c>
      <c r="T48" s="19">
        <f t="shared" si="10"/>
        <v>1.6518151057900956</v>
      </c>
      <c r="U48" s="19">
        <f t="shared" si="6"/>
        <v>1.5716604241580356</v>
      </c>
      <c r="V48" s="19">
        <f t="shared" si="7"/>
        <v>1.478514039659488</v>
      </c>
    </row>
    <row r="49" spans="2:22" x14ac:dyDescent="0.25">
      <c r="B49" s="16">
        <f t="shared" si="44"/>
        <v>2040</v>
      </c>
      <c r="C49" s="17">
        <f t="shared" si="22"/>
        <v>246.42922078536645</v>
      </c>
      <c r="D49" s="21">
        <v>0.03</v>
      </c>
      <c r="E49" s="20">
        <f t="shared" si="8"/>
        <v>5.6952509681508738</v>
      </c>
      <c r="F49" s="19">
        <f t="shared" si="35"/>
        <v>3.3550608684188759</v>
      </c>
      <c r="G49" s="19">
        <f t="shared" si="36"/>
        <v>3.2344037378312964</v>
      </c>
      <c r="H49" s="19">
        <f t="shared" si="37"/>
        <v>3.1573250581084746</v>
      </c>
      <c r="I49" s="19">
        <f t="shared" si="38"/>
        <v>3.0974009651252694</v>
      </c>
      <c r="J49" s="19">
        <f t="shared" si="39"/>
        <v>2.9881074425289977</v>
      </c>
      <c r="K49" s="19">
        <f t="shared" si="40"/>
        <v>2.7987418601404483</v>
      </c>
      <c r="L49" s="19">
        <f t="shared" si="41"/>
        <v>2.6466461259302596</v>
      </c>
      <c r="M49" s="19">
        <f t="shared" si="42"/>
        <v>2.5426044241164512</v>
      </c>
      <c r="N49" s="19">
        <f t="shared" si="43"/>
        <v>2.4642922078536644</v>
      </c>
      <c r="O49" s="19">
        <f t="shared" si="24"/>
        <v>2.3740772715353224</v>
      </c>
      <c r="P49" s="19">
        <f t="shared" si="2"/>
        <v>2.3364602613279422</v>
      </c>
      <c r="Q49" s="19">
        <f t="shared" si="3"/>
        <v>2.2125570656514606</v>
      </c>
      <c r="R49" s="19">
        <f t="shared" si="9"/>
        <v>1.9559380000454918</v>
      </c>
      <c r="S49" s="19">
        <f t="shared" si="5"/>
        <v>1.789840776029916</v>
      </c>
      <c r="T49" s="19">
        <f t="shared" si="10"/>
        <v>1.7013695589637985</v>
      </c>
      <c r="U49" s="19">
        <f t="shared" si="6"/>
        <v>1.6188102368827768</v>
      </c>
      <c r="V49" s="19">
        <f t="shared" si="7"/>
        <v>1.5228694608492725</v>
      </c>
    </row>
    <row r="50" spans="2:22" x14ac:dyDescent="0.25">
      <c r="B50" s="16">
        <f t="shared" si="44"/>
        <v>2041</v>
      </c>
      <c r="C50" s="17">
        <f t="shared" si="22"/>
        <v>253.82209740892745</v>
      </c>
      <c r="D50" s="21">
        <v>0.03</v>
      </c>
      <c r="E50" s="20">
        <f t="shared" si="8"/>
        <v>5.8661084971954001</v>
      </c>
      <c r="F50" s="19">
        <f t="shared" si="35"/>
        <v>3.4557126944714422</v>
      </c>
      <c r="G50" s="19">
        <f t="shared" si="36"/>
        <v>3.3314358499662351</v>
      </c>
      <c r="H50" s="19">
        <f t="shared" si="37"/>
        <v>3.2520448098517289</v>
      </c>
      <c r="I50" s="19">
        <f t="shared" si="38"/>
        <v>3.1903229940790276</v>
      </c>
      <c r="J50" s="19">
        <f t="shared" si="39"/>
        <v>3.0777506658048677</v>
      </c>
      <c r="K50" s="19">
        <f t="shared" si="40"/>
        <v>2.8827041159446618</v>
      </c>
      <c r="L50" s="19">
        <f t="shared" si="41"/>
        <v>2.7260455097081673</v>
      </c>
      <c r="M50" s="19">
        <f t="shared" si="42"/>
        <v>2.6188825568399445</v>
      </c>
      <c r="N50" s="19">
        <f t="shared" si="43"/>
        <v>2.5382209740892745</v>
      </c>
      <c r="O50" s="19">
        <f t="shared" si="24"/>
        <v>2.4452995896813818</v>
      </c>
      <c r="P50" s="19">
        <f t="shared" si="2"/>
        <v>2.4065540691677807</v>
      </c>
      <c r="Q50" s="19">
        <f t="shared" si="3"/>
        <v>2.2789337776210044</v>
      </c>
      <c r="R50" s="19">
        <f t="shared" si="9"/>
        <v>2.0146161400468565</v>
      </c>
      <c r="S50" s="19">
        <f t="shared" si="5"/>
        <v>1.8435359993108134</v>
      </c>
      <c r="T50" s="19">
        <f t="shared" si="10"/>
        <v>1.7524106457327124</v>
      </c>
      <c r="U50" s="19">
        <f t="shared" si="6"/>
        <v>1.66737454398926</v>
      </c>
      <c r="V50" s="19">
        <f t="shared" si="7"/>
        <v>1.5685555446747508</v>
      </c>
    </row>
    <row r="51" spans="2:22" x14ac:dyDescent="0.25">
      <c r="B51" s="16">
        <f t="shared" si="44"/>
        <v>2042</v>
      </c>
      <c r="C51" s="17">
        <f t="shared" si="22"/>
        <v>261.43676033119527</v>
      </c>
      <c r="D51" s="21">
        <v>0.03</v>
      </c>
      <c r="E51" s="20">
        <f t="shared" si="8"/>
        <v>6.0420917521112623</v>
      </c>
      <c r="F51" s="19">
        <f t="shared" si="35"/>
        <v>3.5593840753055854</v>
      </c>
      <c r="G51" s="19">
        <f t="shared" si="36"/>
        <v>3.4313789254652223</v>
      </c>
      <c r="H51" s="19">
        <f t="shared" si="37"/>
        <v>3.3496061541472808</v>
      </c>
      <c r="I51" s="19">
        <f t="shared" si="38"/>
        <v>3.2860326839013987</v>
      </c>
      <c r="J51" s="19">
        <f t="shared" si="39"/>
        <v>3.1700831857790139</v>
      </c>
      <c r="K51" s="19">
        <f t="shared" si="40"/>
        <v>2.9691852394230014</v>
      </c>
      <c r="L51" s="19">
        <f t="shared" si="41"/>
        <v>2.8078268749994124</v>
      </c>
      <c r="M51" s="19">
        <f t="shared" si="42"/>
        <v>2.6974490335451433</v>
      </c>
      <c r="N51" s="19">
        <f t="shared" si="43"/>
        <v>2.6143676033119529</v>
      </c>
      <c r="O51" s="19">
        <f t="shared" si="24"/>
        <v>2.5186585773718235</v>
      </c>
      <c r="P51" s="19">
        <f t="shared" si="2"/>
        <v>2.4787506912428139</v>
      </c>
      <c r="Q51" s="19">
        <f t="shared" si="3"/>
        <v>2.3473017909496345</v>
      </c>
      <c r="R51" s="19">
        <f t="shared" si="9"/>
        <v>2.0750546242482621</v>
      </c>
      <c r="S51" s="19">
        <f t="shared" si="5"/>
        <v>1.8988420792901377</v>
      </c>
      <c r="T51" s="19">
        <f t="shared" si="10"/>
        <v>1.8049829651046938</v>
      </c>
      <c r="U51" s="19">
        <f t="shared" si="6"/>
        <v>1.7173957803089379</v>
      </c>
      <c r="V51" s="19">
        <f t="shared" si="7"/>
        <v>1.6156122110149933</v>
      </c>
    </row>
    <row r="52" spans="2:22" x14ac:dyDescent="0.25">
      <c r="B52" s="16">
        <f t="shared" si="44"/>
        <v>2043</v>
      </c>
      <c r="C52" s="17">
        <f t="shared" si="22"/>
        <v>269.27986314113116</v>
      </c>
      <c r="D52" s="21">
        <v>0.03</v>
      </c>
      <c r="E52" s="20">
        <f t="shared" si="8"/>
        <v>6.2233545046746004</v>
      </c>
      <c r="F52" s="19">
        <f t="shared" si="35"/>
        <v>3.6661655975647536</v>
      </c>
      <c r="G52" s="19">
        <f t="shared" si="36"/>
        <v>3.5343202932291793</v>
      </c>
      <c r="H52" s="19">
        <f t="shared" si="37"/>
        <v>3.4500943387716996</v>
      </c>
      <c r="I52" s="19">
        <f t="shared" si="38"/>
        <v>3.384613664418441</v>
      </c>
      <c r="J52" s="19">
        <f t="shared" si="39"/>
        <v>3.2651856813523845</v>
      </c>
      <c r="K52" s="19">
        <f t="shared" si="40"/>
        <v>3.0582607966056918</v>
      </c>
      <c r="L52" s="19">
        <f t="shared" si="41"/>
        <v>2.8920616812493951</v>
      </c>
      <c r="M52" s="19">
        <f t="shared" si="42"/>
        <v>2.7783725045514975</v>
      </c>
      <c r="N52" s="19">
        <f t="shared" si="43"/>
        <v>2.6927986314113115</v>
      </c>
      <c r="O52" s="19">
        <f t="shared" si="24"/>
        <v>2.5942183346929784</v>
      </c>
      <c r="P52" s="19">
        <f t="shared" si="2"/>
        <v>2.5531132119800986</v>
      </c>
      <c r="Q52" s="19">
        <f t="shared" si="3"/>
        <v>2.4177208446781235</v>
      </c>
      <c r="R52" s="19">
        <f t="shared" si="9"/>
        <v>2.1373062629757102</v>
      </c>
      <c r="S52" s="19">
        <f t="shared" si="5"/>
        <v>1.9558073416688422</v>
      </c>
      <c r="T52" s="19">
        <f t="shared" si="10"/>
        <v>1.8591324540578349</v>
      </c>
      <c r="U52" s="19">
        <f t="shared" si="6"/>
        <v>1.7689176537182061</v>
      </c>
      <c r="V52" s="19">
        <f t="shared" si="7"/>
        <v>1.6640805773454432</v>
      </c>
    </row>
    <row r="53" spans="2:22" x14ac:dyDescent="0.25">
      <c r="B53" s="16">
        <f t="shared" si="44"/>
        <v>2044</v>
      </c>
      <c r="C53" s="17">
        <f t="shared" si="22"/>
        <v>277.35825903536511</v>
      </c>
      <c r="D53" s="21">
        <v>0.03</v>
      </c>
      <c r="E53" s="20">
        <f t="shared" si="8"/>
        <v>6.4100551398148387</v>
      </c>
      <c r="F53" s="19">
        <f t="shared" si="35"/>
        <v>3.7761505654916965</v>
      </c>
      <c r="G53" s="19">
        <f t="shared" si="36"/>
        <v>3.6403499020260548</v>
      </c>
      <c r="H53" s="19">
        <f t="shared" si="37"/>
        <v>3.5535971689348509</v>
      </c>
      <c r="I53" s="19">
        <f t="shared" si="38"/>
        <v>3.4861520743509944</v>
      </c>
      <c r="J53" s="19">
        <f t="shared" si="39"/>
        <v>3.3631412517929564</v>
      </c>
      <c r="K53" s="19">
        <f t="shared" si="40"/>
        <v>3.1500086205038627</v>
      </c>
      <c r="L53" s="19">
        <f t="shared" si="41"/>
        <v>2.978823531686877</v>
      </c>
      <c r="M53" s="19">
        <f t="shared" si="42"/>
        <v>2.8617236796880428</v>
      </c>
      <c r="N53" s="19">
        <f t="shared" si="43"/>
        <v>2.7735825903536511</v>
      </c>
      <c r="O53" s="19">
        <f t="shared" si="24"/>
        <v>2.6720448847337681</v>
      </c>
      <c r="P53" s="19">
        <f t="shared" si="2"/>
        <v>2.629706608339502</v>
      </c>
      <c r="Q53" s="19">
        <f t="shared" si="3"/>
        <v>2.4902524700184676</v>
      </c>
      <c r="R53" s="19">
        <f t="shared" si="9"/>
        <v>2.2014254508649818</v>
      </c>
      <c r="S53" s="19">
        <f t="shared" si="5"/>
        <v>2.0144815619189074</v>
      </c>
      <c r="T53" s="19">
        <f t="shared" si="10"/>
        <v>1.91490642767957</v>
      </c>
      <c r="U53" s="19">
        <f t="shared" si="6"/>
        <v>1.8219851833297525</v>
      </c>
      <c r="V53" s="19">
        <f t="shared" si="7"/>
        <v>1.7140029946658066</v>
      </c>
    </row>
    <row r="54" spans="2:22" x14ac:dyDescent="0.25">
      <c r="B54" s="16">
        <f t="shared" si="44"/>
        <v>2045</v>
      </c>
      <c r="C54" s="17">
        <f t="shared" si="22"/>
        <v>285.67900680642606</v>
      </c>
      <c r="D54" s="21">
        <v>0.03</v>
      </c>
      <c r="E54" s="20">
        <f t="shared" si="8"/>
        <v>6.6023567940092835</v>
      </c>
      <c r="F54" s="19">
        <f t="shared" si="35"/>
        <v>3.8894350824564472</v>
      </c>
      <c r="G54" s="19">
        <f t="shared" si="36"/>
        <v>3.7495603990868362</v>
      </c>
      <c r="H54" s="19">
        <f t="shared" si="37"/>
        <v>3.6602050840028966</v>
      </c>
      <c r="I54" s="19">
        <f t="shared" si="38"/>
        <v>3.5907366365815241</v>
      </c>
      <c r="J54" s="19">
        <f t="shared" si="39"/>
        <v>3.4640354893467449</v>
      </c>
      <c r="K54" s="19">
        <f t="shared" si="40"/>
        <v>3.2445088791189787</v>
      </c>
      <c r="L54" s="19">
        <f t="shared" si="41"/>
        <v>3.0681882376374832</v>
      </c>
      <c r="M54" s="19">
        <f t="shared" si="42"/>
        <v>2.9475753900786841</v>
      </c>
      <c r="N54" s="19">
        <f t="shared" si="43"/>
        <v>2.8567900680642606</v>
      </c>
      <c r="O54" s="19">
        <f t="shared" si="24"/>
        <v>2.7522062312757809</v>
      </c>
      <c r="P54" s="19">
        <f t="shared" si="2"/>
        <v>2.7085978065896867</v>
      </c>
      <c r="Q54" s="19">
        <f t="shared" si="3"/>
        <v>2.5649600441190215</v>
      </c>
      <c r="R54" s="19">
        <f t="shared" si="9"/>
        <v>2.2674682143909313</v>
      </c>
      <c r="S54" s="19">
        <f t="shared" si="5"/>
        <v>2.0749160087764746</v>
      </c>
      <c r="T54" s="19">
        <f t="shared" si="10"/>
        <v>1.972353620509957</v>
      </c>
      <c r="U54" s="19">
        <f t="shared" si="6"/>
        <v>1.876644738829645</v>
      </c>
      <c r="V54" s="19">
        <f t="shared" si="7"/>
        <v>1.7654230845057808</v>
      </c>
    </row>
    <row r="55" spans="2:22" x14ac:dyDescent="0.25">
      <c r="B55" s="16">
        <f t="shared" si="44"/>
        <v>2046</v>
      </c>
      <c r="C55" s="17">
        <f t="shared" si="22"/>
        <v>294.24937701061884</v>
      </c>
      <c r="D55" s="21">
        <v>0.03</v>
      </c>
      <c r="E55" s="20">
        <f t="shared" si="8"/>
        <v>6.8004274978295625</v>
      </c>
      <c r="F55" s="19">
        <f t="shared" si="35"/>
        <v>4.0061181349301407</v>
      </c>
      <c r="G55" s="19">
        <f t="shared" si="36"/>
        <v>3.8620472110594415</v>
      </c>
      <c r="H55" s="19">
        <f t="shared" si="37"/>
        <v>3.7700112365229832</v>
      </c>
      <c r="I55" s="19">
        <f t="shared" si="38"/>
        <v>3.6984587356789698</v>
      </c>
      <c r="J55" s="19">
        <f t="shared" si="39"/>
        <v>3.5679565540271474</v>
      </c>
      <c r="K55" s="19">
        <f t="shared" si="40"/>
        <v>3.3418441454925478</v>
      </c>
      <c r="L55" s="19">
        <f t="shared" si="41"/>
        <v>3.1602338847666078</v>
      </c>
      <c r="M55" s="19">
        <f t="shared" si="42"/>
        <v>3.0360026517810446</v>
      </c>
      <c r="N55" s="19">
        <f t="shared" si="43"/>
        <v>2.9424937701061884</v>
      </c>
      <c r="O55" s="19">
        <f t="shared" si="24"/>
        <v>2.8347724182140546</v>
      </c>
      <c r="P55" s="19">
        <f t="shared" si="2"/>
        <v>2.7898557407873774</v>
      </c>
      <c r="Q55" s="19">
        <f t="shared" si="3"/>
        <v>2.6419088454425923</v>
      </c>
      <c r="R55" s="19">
        <f t="shared" si="9"/>
        <v>2.3354922608226594</v>
      </c>
      <c r="S55" s="19">
        <f t="shared" si="5"/>
        <v>2.1371634890397688</v>
      </c>
      <c r="T55" s="19">
        <f t="shared" si="10"/>
        <v>2.0315242291252558</v>
      </c>
      <c r="U55" s="19">
        <f t="shared" si="6"/>
        <v>1.9329440809945344</v>
      </c>
      <c r="V55" s="19">
        <f t="shared" si="7"/>
        <v>1.8183857770409542</v>
      </c>
    </row>
    <row r="56" spans="2:22" x14ac:dyDescent="0.25">
      <c r="B56" s="16">
        <f>B55+1</f>
        <v>2047</v>
      </c>
      <c r="C56" s="17">
        <f t="shared" si="22"/>
        <v>303.07685832093739</v>
      </c>
      <c r="D56" s="21">
        <v>0.03</v>
      </c>
      <c r="E56" s="20">
        <f t="shared" si="8"/>
        <v>7.0044403227644487</v>
      </c>
      <c r="F56" s="19">
        <f t="shared" si="35"/>
        <v>4.1263016789780442</v>
      </c>
      <c r="G56" s="19">
        <f t="shared" si="36"/>
        <v>3.9779086273912245</v>
      </c>
      <c r="H56" s="19">
        <f t="shared" si="37"/>
        <v>3.8831115736186725</v>
      </c>
      <c r="I56" s="19">
        <f t="shared" si="38"/>
        <v>3.8094124977493387</v>
      </c>
      <c r="J56" s="19">
        <f t="shared" si="39"/>
        <v>3.6749952506479615</v>
      </c>
      <c r="K56" s="19">
        <f t="shared" si="40"/>
        <v>3.4420994698573244</v>
      </c>
      <c r="L56" s="19">
        <f t="shared" si="41"/>
        <v>3.2550409013096058</v>
      </c>
      <c r="M56" s="19">
        <f t="shared" si="42"/>
        <v>3.1270827313344758</v>
      </c>
      <c r="N56" s="19">
        <f t="shared" si="43"/>
        <v>3.0307685832093738</v>
      </c>
      <c r="O56" s="19">
        <f t="shared" si="24"/>
        <v>2.9198155907604759</v>
      </c>
      <c r="P56" s="19">
        <f t="shared" si="2"/>
        <v>2.8735514130109987</v>
      </c>
      <c r="Q56" s="19">
        <f t="shared" si="3"/>
        <v>2.72116611080587</v>
      </c>
      <c r="R56" s="19">
        <f t="shared" si="9"/>
        <v>2.4055570286473387</v>
      </c>
      <c r="S56" s="19">
        <f t="shared" si="5"/>
        <v>2.2012783937109619</v>
      </c>
      <c r="T56" s="19">
        <f t="shared" si="10"/>
        <v>2.0924699559990132</v>
      </c>
      <c r="U56" s="19">
        <f t="shared" si="6"/>
        <v>1.9909324034243703</v>
      </c>
      <c r="V56" s="19">
        <f t="shared" si="7"/>
        <v>1.8729373503521827</v>
      </c>
    </row>
    <row r="57" spans="2:22" x14ac:dyDescent="0.25">
      <c r="B57" s="16">
        <f>B56+1</f>
        <v>2048</v>
      </c>
      <c r="C57" s="17">
        <f t="shared" si="22"/>
        <v>312.1691640705655</v>
      </c>
      <c r="D57" s="21">
        <v>0.03</v>
      </c>
      <c r="E57" s="20">
        <f t="shared" si="8"/>
        <v>7.2145735324473819</v>
      </c>
      <c r="F57" s="19">
        <f t="shared" si="35"/>
        <v>4.2500907293473862</v>
      </c>
      <c r="G57" s="19">
        <f t="shared" si="36"/>
        <v>4.0972458862129608</v>
      </c>
      <c r="H57" s="19">
        <f t="shared" si="37"/>
        <v>3.9996049208272328</v>
      </c>
      <c r="I57" s="19">
        <f t="shared" si="38"/>
        <v>3.9236948726818186</v>
      </c>
      <c r="J57" s="19">
        <f t="shared" si="39"/>
        <v>3.7852451081674001</v>
      </c>
      <c r="K57" s="19">
        <f t="shared" si="40"/>
        <v>3.5453624539530439</v>
      </c>
      <c r="L57" s="19">
        <f t="shared" si="41"/>
        <v>3.352692128348894</v>
      </c>
      <c r="M57" s="19">
        <f t="shared" si="42"/>
        <v>3.2208952132745097</v>
      </c>
      <c r="N57" s="19">
        <f t="shared" si="43"/>
        <v>3.121691640705655</v>
      </c>
      <c r="O57" s="19">
        <f t="shared" si="24"/>
        <v>3.0074100584832899</v>
      </c>
      <c r="P57" s="19">
        <f t="shared" si="2"/>
        <v>2.9597579554013285</v>
      </c>
      <c r="Q57" s="19">
        <f t="shared" si="3"/>
        <v>2.8028010941300456</v>
      </c>
      <c r="R57" s="19">
        <f t="shared" si="9"/>
        <v>2.4777237395067591</v>
      </c>
      <c r="S57" s="19">
        <f t="shared" si="5"/>
        <v>2.2673167455222907</v>
      </c>
      <c r="T57" s="19">
        <f t="shared" si="10"/>
        <v>2.1552440546789837</v>
      </c>
      <c r="U57" s="19">
        <f t="shared" si="6"/>
        <v>2.0506603755271011</v>
      </c>
      <c r="V57" s="19">
        <f t="shared" si="7"/>
        <v>1.9291254708627481</v>
      </c>
    </row>
    <row r="58" spans="2:22" x14ac:dyDescent="0.25">
      <c r="B58" s="16">
        <f t="shared" ref="B58:B59" si="45">B57+1</f>
        <v>2049</v>
      </c>
      <c r="C58" s="17">
        <f t="shared" si="22"/>
        <v>321.53423899268245</v>
      </c>
      <c r="D58" s="21">
        <v>0.03</v>
      </c>
      <c r="E58" s="20">
        <f>+C58/$C$9</f>
        <v>7.4310107384208033</v>
      </c>
      <c r="F58" s="19">
        <f t="shared" si="35"/>
        <v>4.3775934512278072</v>
      </c>
      <c r="G58" s="19">
        <f t="shared" si="36"/>
        <v>4.2201632627993497</v>
      </c>
      <c r="H58" s="19">
        <f t="shared" si="37"/>
        <v>4.1195930684520494</v>
      </c>
      <c r="I58" s="19">
        <f t="shared" si="38"/>
        <v>4.041405718862273</v>
      </c>
      <c r="J58" s="19">
        <f t="shared" si="39"/>
        <v>3.8988024614124219</v>
      </c>
      <c r="K58" s="19">
        <f t="shared" si="40"/>
        <v>3.6517233275716348</v>
      </c>
      <c r="L58" s="19">
        <f t="shared" si="41"/>
        <v>3.4532728921993603</v>
      </c>
      <c r="M58" s="19">
        <f t="shared" si="42"/>
        <v>3.3175220696727448</v>
      </c>
      <c r="N58" s="19">
        <f t="shared" si="43"/>
        <v>3.2153423899268243</v>
      </c>
      <c r="O58" s="19">
        <f t="shared" si="24"/>
        <v>3.0976323602377884</v>
      </c>
      <c r="P58" s="19">
        <f t="shared" si="2"/>
        <v>3.0485506940633682</v>
      </c>
      <c r="Q58" s="19">
        <f t="shared" si="3"/>
        <v>2.8868851269539468</v>
      </c>
      <c r="R58" s="19">
        <f t="shared" si="9"/>
        <v>2.5520554516919614</v>
      </c>
      <c r="S58" s="19">
        <f t="shared" si="5"/>
        <v>2.3353362478879593</v>
      </c>
      <c r="T58" s="19">
        <f t="shared" si="10"/>
        <v>2.2199013763193531</v>
      </c>
      <c r="U58" s="19">
        <f t="shared" si="6"/>
        <v>2.1121801867929144</v>
      </c>
      <c r="V58" s="19">
        <f t="shared" si="7"/>
        <v>1.9869992349886305</v>
      </c>
    </row>
    <row r="59" spans="2:22" x14ac:dyDescent="0.25">
      <c r="B59" s="16">
        <f t="shared" si="45"/>
        <v>2050</v>
      </c>
      <c r="C59" s="17">
        <f t="shared" si="22"/>
        <v>331.18026616246294</v>
      </c>
      <c r="D59" s="21">
        <v>0.03</v>
      </c>
      <c r="E59" s="20">
        <f t="shared" si="8"/>
        <v>7.6539410605734277</v>
      </c>
      <c r="F59" s="19">
        <f>+C59/$C$19</f>
        <v>4.5089212547646413</v>
      </c>
      <c r="G59" s="19">
        <f t="shared" si="36"/>
        <v>4.3467681606833306</v>
      </c>
      <c r="H59" s="19">
        <f t="shared" si="37"/>
        <v>4.2431808605056114</v>
      </c>
      <c r="I59" s="19">
        <f t="shared" si="38"/>
        <v>4.1626478904281417</v>
      </c>
      <c r="J59" s="19">
        <f t="shared" si="39"/>
        <v>4.0157665352547953</v>
      </c>
      <c r="K59" s="19">
        <f t="shared" si="40"/>
        <v>3.7612750273987841</v>
      </c>
      <c r="L59" s="19">
        <f t="shared" si="41"/>
        <v>3.5568710789653415</v>
      </c>
      <c r="M59" s="19">
        <f t="shared" si="42"/>
        <v>3.4170477317629278</v>
      </c>
      <c r="N59" s="19">
        <f t="shared" si="43"/>
        <v>3.3118026616246294</v>
      </c>
      <c r="O59" s="19">
        <f t="shared" si="24"/>
        <v>3.1905613310449223</v>
      </c>
      <c r="P59" s="19">
        <f t="shared" si="2"/>
        <v>3.1400072148852693</v>
      </c>
      <c r="Q59" s="19">
        <f t="shared" si="3"/>
        <v>2.9734916807625655</v>
      </c>
      <c r="R59" s="19">
        <f t="shared" si="9"/>
        <v>2.6286171152427205</v>
      </c>
      <c r="S59" s="19">
        <f t="shared" si="5"/>
        <v>2.405396335324598</v>
      </c>
      <c r="T59" s="19">
        <f t="shared" si="10"/>
        <v>2.2864984176089336</v>
      </c>
      <c r="U59" s="19">
        <f t="shared" si="6"/>
        <v>2.175545592396702</v>
      </c>
      <c r="V59" s="19">
        <f t="shared" si="7"/>
        <v>2.0466092120382897</v>
      </c>
    </row>
    <row r="60" spans="2:22" x14ac:dyDescent="0.25">
      <c r="B60" s="16"/>
    </row>
  </sheetData>
  <phoneticPr fontId="8" type="noConversion"/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87A67-0C35-4288-AC6D-B4D3B233BF55}">
  <dimension ref="A1:F74"/>
  <sheetViews>
    <sheetView tabSelected="1" workbookViewId="0">
      <selection activeCell="F6" sqref="F6"/>
    </sheetView>
  </sheetViews>
  <sheetFormatPr baseColWidth="10" defaultColWidth="10.81640625" defaultRowHeight="14.5" x14ac:dyDescent="0.35"/>
  <cols>
    <col min="1" max="2" width="19.36328125" style="29" customWidth="1"/>
    <col min="3" max="3" width="14.81640625" style="29" customWidth="1"/>
    <col min="4" max="4" width="14.81640625" style="29" bestFit="1" customWidth="1"/>
    <col min="5" max="5" width="20.81640625" style="29" customWidth="1"/>
    <col min="6" max="16384" width="10.81640625" style="29"/>
  </cols>
  <sheetData>
    <row r="1" spans="1:6" x14ac:dyDescent="0.35">
      <c r="A1" s="29" t="s">
        <v>27</v>
      </c>
    </row>
    <row r="2" spans="1:6" x14ac:dyDescent="0.35">
      <c r="A2" s="31" t="s">
        <v>26</v>
      </c>
      <c r="B2" s="31" t="s">
        <v>1</v>
      </c>
      <c r="C2" s="32" t="s">
        <v>28</v>
      </c>
      <c r="D2" s="32" t="s">
        <v>29</v>
      </c>
      <c r="E2" s="32" t="s">
        <v>30</v>
      </c>
      <c r="F2" s="32" t="s">
        <v>31</v>
      </c>
    </row>
    <row r="3" spans="1:6" x14ac:dyDescent="0.35">
      <c r="A3" s="35">
        <v>20089</v>
      </c>
      <c r="B3" s="37">
        <v>1954</v>
      </c>
      <c r="C3" s="30">
        <v>0.03</v>
      </c>
      <c r="D3" s="34">
        <f>C3/$C$73</f>
        <v>2.0706791827719491E-4</v>
      </c>
      <c r="E3" s="34">
        <f>C3/$C$74</f>
        <v>1.9701990321331582E-4</v>
      </c>
    </row>
    <row r="4" spans="1:6" x14ac:dyDescent="0.35">
      <c r="A4" s="35">
        <v>20454</v>
      </c>
      <c r="B4" s="37">
        <v>1955</v>
      </c>
      <c r="C4" s="30">
        <v>0.03</v>
      </c>
      <c r="D4" s="34">
        <f t="shared" ref="D4:D67" si="0">C4/$C$73</f>
        <v>2.0706791827719491E-4</v>
      </c>
      <c r="E4" s="34">
        <f t="shared" ref="E4:E67" si="1">C4/$C$74</f>
        <v>1.9701990321331582E-4</v>
      </c>
      <c r="F4" s="34">
        <f>C4/C3-1</f>
        <v>0</v>
      </c>
    </row>
    <row r="5" spans="1:6" x14ac:dyDescent="0.35">
      <c r="A5" s="35">
        <v>20820</v>
      </c>
      <c r="B5" s="37">
        <v>1956</v>
      </c>
      <c r="C5" s="30">
        <v>0.03</v>
      </c>
      <c r="D5" s="34">
        <f t="shared" si="0"/>
        <v>2.0706791827719491E-4</v>
      </c>
      <c r="E5" s="34">
        <f t="shared" si="1"/>
        <v>1.9701990321331582E-4</v>
      </c>
      <c r="F5" s="34">
        <f t="shared" ref="F5:F68" si="2">C5/C4-1</f>
        <v>0</v>
      </c>
    </row>
    <row r="6" spans="1:6" x14ac:dyDescent="0.35">
      <c r="A6" s="35">
        <v>21185</v>
      </c>
      <c r="B6" s="37">
        <v>1957</v>
      </c>
      <c r="C6" s="30">
        <v>0.03</v>
      </c>
      <c r="D6" s="34">
        <f t="shared" si="0"/>
        <v>2.0706791827719491E-4</v>
      </c>
      <c r="E6" s="34">
        <f t="shared" si="1"/>
        <v>1.9701990321331582E-4</v>
      </c>
      <c r="F6" s="34">
        <f t="shared" si="2"/>
        <v>0</v>
      </c>
    </row>
    <row r="7" spans="1:6" x14ac:dyDescent="0.35">
      <c r="A7" s="35">
        <v>21550</v>
      </c>
      <c r="B7" s="37">
        <v>1958</v>
      </c>
      <c r="C7" s="30">
        <v>0.04</v>
      </c>
      <c r="D7" s="34">
        <f t="shared" si="0"/>
        <v>2.7609055770292659E-4</v>
      </c>
      <c r="E7" s="34">
        <f t="shared" si="1"/>
        <v>2.6269320428442107E-4</v>
      </c>
      <c r="F7" s="34">
        <f t="shared" si="2"/>
        <v>0.33333333333333348</v>
      </c>
    </row>
    <row r="8" spans="1:6" x14ac:dyDescent="0.35">
      <c r="A8" s="35">
        <v>21915</v>
      </c>
      <c r="B8" s="37">
        <v>1959</v>
      </c>
      <c r="C8" s="30">
        <v>0.04</v>
      </c>
      <c r="D8" s="34">
        <f t="shared" si="0"/>
        <v>2.7609055770292659E-4</v>
      </c>
      <c r="E8" s="34">
        <f t="shared" si="1"/>
        <v>2.6269320428442107E-4</v>
      </c>
      <c r="F8" s="34">
        <f t="shared" si="2"/>
        <v>0</v>
      </c>
    </row>
    <row r="9" spans="1:6" x14ac:dyDescent="0.35">
      <c r="A9" s="35">
        <v>22281</v>
      </c>
      <c r="B9" s="37">
        <v>1960</v>
      </c>
      <c r="C9" s="30">
        <v>0.04</v>
      </c>
      <c r="D9" s="34">
        <f t="shared" si="0"/>
        <v>2.7609055770292659E-4</v>
      </c>
      <c r="E9" s="34">
        <f t="shared" si="1"/>
        <v>2.6269320428442107E-4</v>
      </c>
      <c r="F9" s="34">
        <f t="shared" si="2"/>
        <v>0</v>
      </c>
    </row>
    <row r="10" spans="1:6" x14ac:dyDescent="0.35">
      <c r="A10" s="35">
        <v>22646</v>
      </c>
      <c r="B10" s="37">
        <v>1961</v>
      </c>
      <c r="C10" s="30">
        <v>0.05</v>
      </c>
      <c r="D10" s="34">
        <f t="shared" si="0"/>
        <v>3.4511319712865821E-4</v>
      </c>
      <c r="E10" s="34">
        <f t="shared" si="1"/>
        <v>3.2836650535552638E-4</v>
      </c>
      <c r="F10" s="34">
        <f t="shared" si="2"/>
        <v>0.25</v>
      </c>
    </row>
    <row r="11" spans="1:6" x14ac:dyDescent="0.35">
      <c r="A11" s="35">
        <v>23011</v>
      </c>
      <c r="B11" s="37">
        <v>1962</v>
      </c>
      <c r="C11" s="30">
        <v>0.05</v>
      </c>
      <c r="D11" s="34">
        <f t="shared" si="0"/>
        <v>3.4511319712865821E-4</v>
      </c>
      <c r="E11" s="34">
        <f t="shared" si="1"/>
        <v>3.2836650535552638E-4</v>
      </c>
      <c r="F11" s="34">
        <f t="shared" si="2"/>
        <v>0</v>
      </c>
    </row>
    <row r="12" spans="1:6" x14ac:dyDescent="0.35">
      <c r="A12" s="35">
        <v>23376</v>
      </c>
      <c r="B12" s="37">
        <v>1963</v>
      </c>
      <c r="C12" s="30">
        <v>0.06</v>
      </c>
      <c r="D12" s="34">
        <f t="shared" si="0"/>
        <v>4.1413583655438983E-4</v>
      </c>
      <c r="E12" s="34">
        <f t="shared" si="1"/>
        <v>3.9403980642663163E-4</v>
      </c>
      <c r="F12" s="34">
        <f t="shared" si="2"/>
        <v>0.19999999999999996</v>
      </c>
    </row>
    <row r="13" spans="1:6" x14ac:dyDescent="0.35">
      <c r="A13" s="35">
        <v>23742</v>
      </c>
      <c r="B13" s="37">
        <v>1964</v>
      </c>
      <c r="C13" s="30">
        <v>7.0000000000000007E-2</v>
      </c>
      <c r="D13" s="34">
        <f t="shared" si="0"/>
        <v>4.8315847598012155E-4</v>
      </c>
      <c r="E13" s="34">
        <f t="shared" si="1"/>
        <v>4.5971310749773694E-4</v>
      </c>
      <c r="F13" s="34">
        <f t="shared" si="2"/>
        <v>0.16666666666666674</v>
      </c>
    </row>
    <row r="14" spans="1:6" x14ac:dyDescent="0.35">
      <c r="A14" s="35">
        <v>24107</v>
      </c>
      <c r="B14" s="37">
        <v>1965</v>
      </c>
      <c r="C14" s="30">
        <v>0.08</v>
      </c>
      <c r="D14" s="34">
        <f t="shared" si="0"/>
        <v>5.5218111540585317E-4</v>
      </c>
      <c r="E14" s="34">
        <f t="shared" si="1"/>
        <v>5.2538640856884214E-4</v>
      </c>
      <c r="F14" s="34">
        <f t="shared" si="2"/>
        <v>0.14285714285714279</v>
      </c>
    </row>
    <row r="15" spans="1:6" x14ac:dyDescent="0.35">
      <c r="A15" s="35">
        <v>24472</v>
      </c>
      <c r="B15" s="37">
        <v>1966</v>
      </c>
      <c r="C15" s="30">
        <v>0.09</v>
      </c>
      <c r="D15" s="34">
        <f t="shared" si="0"/>
        <v>6.2120375483158479E-4</v>
      </c>
      <c r="E15" s="34">
        <f t="shared" si="1"/>
        <v>5.910597096399474E-4</v>
      </c>
      <c r="F15" s="34">
        <f t="shared" si="2"/>
        <v>0.125</v>
      </c>
    </row>
    <row r="16" spans="1:6" x14ac:dyDescent="0.35">
      <c r="A16" s="35">
        <v>24837</v>
      </c>
      <c r="B16" s="37">
        <v>1967</v>
      </c>
      <c r="C16" s="30">
        <v>0.1</v>
      </c>
      <c r="D16" s="34">
        <f t="shared" si="0"/>
        <v>6.9022639425731641E-4</v>
      </c>
      <c r="E16" s="34">
        <f t="shared" si="1"/>
        <v>6.5673301071105276E-4</v>
      </c>
      <c r="F16" s="34">
        <f t="shared" si="2"/>
        <v>0.11111111111111116</v>
      </c>
    </row>
    <row r="17" spans="1:6" x14ac:dyDescent="0.35">
      <c r="A17" s="35">
        <v>25203</v>
      </c>
      <c r="B17" s="37">
        <v>1968</v>
      </c>
      <c r="C17" s="30">
        <v>0.1</v>
      </c>
      <c r="D17" s="34">
        <f t="shared" si="0"/>
        <v>6.9022639425731641E-4</v>
      </c>
      <c r="E17" s="34">
        <f t="shared" si="1"/>
        <v>6.5673301071105276E-4</v>
      </c>
      <c r="F17" s="34">
        <f t="shared" si="2"/>
        <v>0</v>
      </c>
    </row>
    <row r="18" spans="1:6" x14ac:dyDescent="0.35">
      <c r="A18" s="35">
        <v>25568</v>
      </c>
      <c r="B18" s="37">
        <v>1969</v>
      </c>
      <c r="C18" s="30">
        <v>0.11</v>
      </c>
      <c r="D18" s="34">
        <f t="shared" si="0"/>
        <v>7.5924903368304803E-4</v>
      </c>
      <c r="E18" s="34">
        <f t="shared" si="1"/>
        <v>7.2240631178215802E-4</v>
      </c>
      <c r="F18" s="34">
        <f t="shared" si="2"/>
        <v>9.9999999999999867E-2</v>
      </c>
    </row>
    <row r="19" spans="1:6" x14ac:dyDescent="0.35">
      <c r="A19" s="35">
        <v>25933</v>
      </c>
      <c r="B19" s="37">
        <v>1970</v>
      </c>
      <c r="C19" s="30">
        <v>0.12</v>
      </c>
      <c r="D19" s="34">
        <f t="shared" si="0"/>
        <v>8.2827167310877965E-4</v>
      </c>
      <c r="E19" s="34">
        <f t="shared" si="1"/>
        <v>7.8807961285326327E-4</v>
      </c>
      <c r="F19" s="34">
        <f t="shared" si="2"/>
        <v>9.0909090909090828E-2</v>
      </c>
    </row>
    <row r="20" spans="1:6" x14ac:dyDescent="0.35">
      <c r="A20" s="35">
        <v>26298</v>
      </c>
      <c r="B20" s="37">
        <v>1971</v>
      </c>
      <c r="C20" s="30">
        <v>0.14000000000000001</v>
      </c>
      <c r="D20" s="34">
        <f t="shared" si="0"/>
        <v>9.6631695196024311E-4</v>
      </c>
      <c r="E20" s="34">
        <f t="shared" si="1"/>
        <v>9.1942621499547389E-4</v>
      </c>
      <c r="F20" s="34">
        <f t="shared" si="2"/>
        <v>0.16666666666666674</v>
      </c>
    </row>
    <row r="21" spans="1:6" x14ac:dyDescent="0.35">
      <c r="A21" s="35">
        <v>26664</v>
      </c>
      <c r="B21" s="37">
        <v>1972</v>
      </c>
      <c r="C21" s="30">
        <v>0.16</v>
      </c>
      <c r="D21" s="34">
        <f t="shared" si="0"/>
        <v>1.1043622308117063E-3</v>
      </c>
      <c r="E21" s="34">
        <f t="shared" si="1"/>
        <v>1.0507728171376843E-3</v>
      </c>
      <c r="F21" s="34">
        <f t="shared" si="2"/>
        <v>0.14285714285714279</v>
      </c>
    </row>
    <row r="22" spans="1:6" x14ac:dyDescent="0.35">
      <c r="A22" s="35">
        <v>27029</v>
      </c>
      <c r="B22" s="37">
        <v>1973</v>
      </c>
      <c r="C22" s="30">
        <v>0.19</v>
      </c>
      <c r="D22" s="34">
        <f t="shared" si="0"/>
        <v>1.3114301490889013E-3</v>
      </c>
      <c r="E22" s="34">
        <f t="shared" si="1"/>
        <v>1.2477927203510002E-3</v>
      </c>
      <c r="F22" s="34">
        <f t="shared" si="2"/>
        <v>0.1875</v>
      </c>
    </row>
    <row r="23" spans="1:6" x14ac:dyDescent="0.35">
      <c r="A23" s="35">
        <v>27394</v>
      </c>
      <c r="B23" s="37">
        <v>1974</v>
      </c>
      <c r="C23" s="30">
        <v>0.25</v>
      </c>
      <c r="D23" s="34">
        <f t="shared" si="0"/>
        <v>1.725565985643291E-3</v>
      </c>
      <c r="E23" s="34">
        <f t="shared" si="1"/>
        <v>1.6418325267776319E-3</v>
      </c>
      <c r="F23" s="34">
        <f t="shared" si="2"/>
        <v>0.31578947368421062</v>
      </c>
    </row>
    <row r="24" spans="1:6" x14ac:dyDescent="0.35">
      <c r="A24" s="35">
        <v>27759</v>
      </c>
      <c r="B24" s="37">
        <v>1975</v>
      </c>
      <c r="C24" s="30">
        <v>0.28999999999999998</v>
      </c>
      <c r="D24" s="34">
        <f t="shared" si="0"/>
        <v>2.0016565433462175E-3</v>
      </c>
      <c r="E24" s="34">
        <f t="shared" si="1"/>
        <v>1.9045257310620527E-3</v>
      </c>
      <c r="F24" s="34">
        <f t="shared" si="2"/>
        <v>0.15999999999999992</v>
      </c>
    </row>
    <row r="25" spans="1:6" x14ac:dyDescent="0.35">
      <c r="A25" s="35">
        <v>28125</v>
      </c>
      <c r="B25" s="37">
        <v>1976</v>
      </c>
      <c r="C25" s="30">
        <v>0.36</v>
      </c>
      <c r="D25" s="34">
        <f t="shared" si="0"/>
        <v>2.4848150193263392E-3</v>
      </c>
      <c r="E25" s="34">
        <f t="shared" si="1"/>
        <v>2.3642388385597896E-3</v>
      </c>
      <c r="F25" s="34">
        <f t="shared" si="2"/>
        <v>0.24137931034482762</v>
      </c>
    </row>
    <row r="26" spans="1:6" x14ac:dyDescent="0.35">
      <c r="A26" s="35">
        <v>28490</v>
      </c>
      <c r="B26" s="37">
        <v>1977</v>
      </c>
      <c r="C26" s="30">
        <v>0.47</v>
      </c>
      <c r="D26" s="34">
        <f t="shared" si="0"/>
        <v>3.2440640530093869E-3</v>
      </c>
      <c r="E26" s="34">
        <f t="shared" si="1"/>
        <v>3.0866451503419475E-3</v>
      </c>
      <c r="F26" s="34">
        <f t="shared" si="2"/>
        <v>0.30555555555555558</v>
      </c>
    </row>
    <row r="27" spans="1:6" x14ac:dyDescent="0.35">
      <c r="A27" s="35">
        <v>28855</v>
      </c>
      <c r="B27" s="37">
        <v>1978</v>
      </c>
      <c r="C27" s="30">
        <v>0.56000000000000005</v>
      </c>
      <c r="D27" s="34">
        <f t="shared" si="0"/>
        <v>3.8652678078409724E-3</v>
      </c>
      <c r="E27" s="34">
        <f t="shared" si="1"/>
        <v>3.6777048599818955E-3</v>
      </c>
      <c r="F27" s="34">
        <f t="shared" si="2"/>
        <v>0.19148936170212782</v>
      </c>
    </row>
    <row r="28" spans="1:6" x14ac:dyDescent="0.35">
      <c r="A28" s="35">
        <v>29220</v>
      </c>
      <c r="B28" s="37">
        <v>1979</v>
      </c>
      <c r="C28" s="30">
        <v>0.72</v>
      </c>
      <c r="D28" s="34">
        <f t="shared" si="0"/>
        <v>4.9696300386526783E-3</v>
      </c>
      <c r="E28" s="34">
        <f t="shared" si="1"/>
        <v>4.7284776771195792E-3</v>
      </c>
      <c r="F28" s="34">
        <f t="shared" si="2"/>
        <v>0.28571428571428559</v>
      </c>
    </row>
    <row r="29" spans="1:6" x14ac:dyDescent="0.35">
      <c r="A29" s="35">
        <v>29586</v>
      </c>
      <c r="B29" s="37">
        <v>1980</v>
      </c>
      <c r="C29" s="30">
        <v>0.9</v>
      </c>
      <c r="D29" s="34">
        <f t="shared" si="0"/>
        <v>6.2120375483158477E-3</v>
      </c>
      <c r="E29" s="34">
        <f t="shared" si="1"/>
        <v>5.9105970963994744E-3</v>
      </c>
      <c r="F29" s="34">
        <f t="shared" si="2"/>
        <v>0.25</v>
      </c>
    </row>
    <row r="30" spans="1:6" x14ac:dyDescent="0.35">
      <c r="A30" s="35">
        <v>29951</v>
      </c>
      <c r="B30" s="37">
        <v>1981</v>
      </c>
      <c r="C30" s="30">
        <v>1.1399999999999999</v>
      </c>
      <c r="D30" s="34">
        <f t="shared" si="0"/>
        <v>7.8685808945334057E-3</v>
      </c>
      <c r="E30" s="34">
        <f t="shared" si="1"/>
        <v>7.4867563221060005E-3</v>
      </c>
      <c r="F30" s="34">
        <f t="shared" si="2"/>
        <v>0.26666666666666661</v>
      </c>
    </row>
    <row r="31" spans="1:6" x14ac:dyDescent="0.35">
      <c r="A31" s="35">
        <v>30316</v>
      </c>
      <c r="B31" s="37">
        <v>1982</v>
      </c>
      <c r="C31" s="30">
        <v>1.41</v>
      </c>
      <c r="D31" s="34">
        <f>C31/$C$73</f>
        <v>9.7321921590281611E-3</v>
      </c>
      <c r="E31" s="34">
        <f t="shared" si="1"/>
        <v>9.2599354510258438E-3</v>
      </c>
      <c r="F31" s="34">
        <f t="shared" si="2"/>
        <v>0.23684210526315796</v>
      </c>
    </row>
    <row r="32" spans="1:6" x14ac:dyDescent="0.35">
      <c r="A32" s="35">
        <v>30681</v>
      </c>
      <c r="B32" s="37">
        <v>1983</v>
      </c>
      <c r="C32" s="30">
        <v>1.65</v>
      </c>
      <c r="D32" s="34">
        <f t="shared" si="0"/>
        <v>1.1388735505245721E-2</v>
      </c>
      <c r="E32" s="34">
        <f t="shared" si="1"/>
        <v>1.0836094676732369E-2</v>
      </c>
      <c r="F32" s="34">
        <f t="shared" si="2"/>
        <v>0.17021276595744683</v>
      </c>
    </row>
    <row r="33" spans="1:6" x14ac:dyDescent="0.35">
      <c r="A33" s="35">
        <v>31047</v>
      </c>
      <c r="B33" s="37">
        <v>1984</v>
      </c>
      <c r="C33" s="30">
        <v>1.95</v>
      </c>
      <c r="D33" s="34">
        <f t="shared" si="0"/>
        <v>1.345941468801767E-2</v>
      </c>
      <c r="E33" s="34">
        <f t="shared" si="1"/>
        <v>1.2806293708865529E-2</v>
      </c>
      <c r="F33" s="34">
        <f t="shared" si="2"/>
        <v>0.18181818181818188</v>
      </c>
    </row>
    <row r="34" spans="1:6" x14ac:dyDescent="0.35">
      <c r="A34" s="35">
        <v>31412</v>
      </c>
      <c r="B34" s="37">
        <v>1985</v>
      </c>
      <c r="C34" s="30">
        <v>2.38</v>
      </c>
      <c r="D34" s="34">
        <f t="shared" si="0"/>
        <v>1.6427388183324131E-2</v>
      </c>
      <c r="E34" s="34">
        <f t="shared" si="1"/>
        <v>1.5630245654923054E-2</v>
      </c>
      <c r="F34" s="34">
        <f t="shared" si="2"/>
        <v>0.2205128205128204</v>
      </c>
    </row>
    <row r="35" spans="1:6" x14ac:dyDescent="0.35">
      <c r="A35" s="35">
        <v>31777</v>
      </c>
      <c r="B35" s="37">
        <v>1986</v>
      </c>
      <c r="C35" s="30">
        <v>2.88</v>
      </c>
      <c r="D35" s="34">
        <f t="shared" si="0"/>
        <v>1.9878520154610713E-2</v>
      </c>
      <c r="E35" s="34">
        <f t="shared" si="1"/>
        <v>1.8913910708478317E-2</v>
      </c>
      <c r="F35" s="34">
        <f t="shared" si="2"/>
        <v>0.2100840336134453</v>
      </c>
    </row>
    <row r="36" spans="1:6" x14ac:dyDescent="0.35">
      <c r="A36" s="35">
        <v>32142</v>
      </c>
      <c r="B36" s="37">
        <v>1987</v>
      </c>
      <c r="C36" s="30">
        <v>3.58</v>
      </c>
      <c r="D36" s="34">
        <f t="shared" si="0"/>
        <v>2.4710104914411928E-2</v>
      </c>
      <c r="E36" s="34">
        <f t="shared" si="1"/>
        <v>2.3511041783455689E-2</v>
      </c>
      <c r="F36" s="34">
        <f t="shared" si="2"/>
        <v>0.24305555555555558</v>
      </c>
    </row>
    <row r="37" spans="1:6" x14ac:dyDescent="0.35">
      <c r="A37" s="35">
        <v>32508</v>
      </c>
      <c r="B37" s="37">
        <v>1988</v>
      </c>
      <c r="C37" s="30">
        <v>4.58</v>
      </c>
      <c r="D37" s="34">
        <f t="shared" si="0"/>
        <v>3.1612368856985096E-2</v>
      </c>
      <c r="E37" s="34">
        <f t="shared" si="1"/>
        <v>3.0078371890566214E-2</v>
      </c>
      <c r="F37" s="34">
        <f t="shared" si="2"/>
        <v>0.27932960893854752</v>
      </c>
    </row>
    <row r="38" spans="1:6" x14ac:dyDescent="0.35">
      <c r="A38" s="35">
        <v>32873</v>
      </c>
      <c r="B38" s="37">
        <v>1989</v>
      </c>
      <c r="C38" s="30">
        <v>5.78</v>
      </c>
      <c r="D38" s="34">
        <f t="shared" si="0"/>
        <v>3.9895085588072893E-2</v>
      </c>
      <c r="E38" s="34">
        <f t="shared" si="1"/>
        <v>3.7959168019098849E-2</v>
      </c>
      <c r="F38" s="34">
        <f t="shared" si="2"/>
        <v>0.26200873362445409</v>
      </c>
    </row>
    <row r="39" spans="1:6" x14ac:dyDescent="0.35">
      <c r="A39" s="35">
        <v>33238</v>
      </c>
      <c r="B39" s="37">
        <v>1990</v>
      </c>
      <c r="C39" s="30">
        <v>7.65</v>
      </c>
      <c r="D39" s="34">
        <f t="shared" si="0"/>
        <v>5.2802319160684709E-2</v>
      </c>
      <c r="E39" s="34">
        <f t="shared" si="1"/>
        <v>5.0240075319395533E-2</v>
      </c>
      <c r="F39" s="34">
        <f t="shared" si="2"/>
        <v>0.32352941176470584</v>
      </c>
    </row>
    <row r="40" spans="1:6" x14ac:dyDescent="0.35">
      <c r="A40" s="35">
        <v>33603</v>
      </c>
      <c r="B40" s="37">
        <v>1991</v>
      </c>
      <c r="C40" s="30">
        <v>9.6999999999999993</v>
      </c>
      <c r="D40" s="34">
        <f t="shared" si="0"/>
        <v>6.6951960242959685E-2</v>
      </c>
      <c r="E40" s="34">
        <f t="shared" si="1"/>
        <v>6.3703102038972115E-2</v>
      </c>
      <c r="F40" s="34">
        <f t="shared" si="2"/>
        <v>0.26797385620915026</v>
      </c>
    </row>
    <row r="41" spans="1:6" x14ac:dyDescent="0.35">
      <c r="A41" s="35">
        <v>33969</v>
      </c>
      <c r="B41" s="37">
        <v>1992</v>
      </c>
      <c r="C41" s="30">
        <v>12.14</v>
      </c>
      <c r="D41" s="34">
        <f t="shared" si="0"/>
        <v>8.3793484262838211E-2</v>
      </c>
      <c r="E41" s="34">
        <f t="shared" si="1"/>
        <v>7.9727387500321809E-2</v>
      </c>
      <c r="F41" s="34">
        <f t="shared" si="2"/>
        <v>0.25154639175257754</v>
      </c>
    </row>
    <row r="42" spans="1:6" x14ac:dyDescent="0.35">
      <c r="A42" s="35">
        <v>34334</v>
      </c>
      <c r="B42" s="37">
        <v>1993</v>
      </c>
      <c r="C42" s="30">
        <v>14.89</v>
      </c>
      <c r="D42" s="34">
        <f t="shared" si="0"/>
        <v>0.10277471010491442</v>
      </c>
      <c r="E42" s="34">
        <f t="shared" si="1"/>
        <v>9.7787545294875752E-2</v>
      </c>
      <c r="F42" s="34">
        <f t="shared" si="2"/>
        <v>0.22652388797364087</v>
      </c>
    </row>
    <row r="43" spans="1:6" x14ac:dyDescent="0.35">
      <c r="A43" s="35">
        <v>34699</v>
      </c>
      <c r="B43" s="37">
        <v>1994</v>
      </c>
      <c r="C43" s="30">
        <v>18.25</v>
      </c>
      <c r="D43" s="34">
        <f t="shared" si="0"/>
        <v>0.12596631695196026</v>
      </c>
      <c r="E43" s="34">
        <f t="shared" si="1"/>
        <v>0.11985377445476712</v>
      </c>
      <c r="F43" s="34">
        <f t="shared" si="2"/>
        <v>0.22565480188045672</v>
      </c>
    </row>
    <row r="44" spans="1:6" x14ac:dyDescent="0.35">
      <c r="A44" s="35">
        <v>35064</v>
      </c>
      <c r="B44" s="37">
        <v>1995</v>
      </c>
      <c r="C44" s="30">
        <v>21.8</v>
      </c>
      <c r="D44" s="34">
        <f t="shared" si="0"/>
        <v>0.15046935394809499</v>
      </c>
      <c r="E44" s="34">
        <f t="shared" si="1"/>
        <v>0.14316779633500951</v>
      </c>
      <c r="F44" s="34">
        <f t="shared" si="2"/>
        <v>0.19452054794520546</v>
      </c>
    </row>
    <row r="45" spans="1:6" x14ac:dyDescent="0.35">
      <c r="A45" s="35">
        <v>35430</v>
      </c>
      <c r="B45" s="37">
        <v>1996</v>
      </c>
      <c r="C45" s="30">
        <v>26.52</v>
      </c>
      <c r="D45" s="34">
        <f t="shared" si="0"/>
        <v>0.18304803975704032</v>
      </c>
      <c r="E45" s="34">
        <f t="shared" si="1"/>
        <v>0.17416559444057117</v>
      </c>
      <c r="F45" s="34">
        <f t="shared" si="2"/>
        <v>0.21651376146788981</v>
      </c>
    </row>
    <row r="46" spans="1:6" x14ac:dyDescent="0.35">
      <c r="A46" s="35">
        <v>35795</v>
      </c>
      <c r="B46" s="37">
        <v>1997</v>
      </c>
      <c r="C46" s="30">
        <v>31.21</v>
      </c>
      <c r="D46" s="34">
        <f t="shared" si="0"/>
        <v>0.21541965764770846</v>
      </c>
      <c r="E46" s="34">
        <f t="shared" si="1"/>
        <v>0.20496637264291956</v>
      </c>
      <c r="F46" s="34">
        <f t="shared" si="2"/>
        <v>0.17684766214177983</v>
      </c>
    </row>
    <row r="47" spans="1:6" x14ac:dyDescent="0.35">
      <c r="A47" s="35">
        <v>36160</v>
      </c>
      <c r="B47" s="37">
        <v>1998</v>
      </c>
      <c r="C47" s="30">
        <v>36.42</v>
      </c>
      <c r="D47" s="34">
        <f t="shared" si="0"/>
        <v>0.25138045278851467</v>
      </c>
      <c r="E47" s="34">
        <f t="shared" si="1"/>
        <v>0.23918216250096541</v>
      </c>
      <c r="F47" s="34">
        <f t="shared" si="2"/>
        <v>0.16693367510413326</v>
      </c>
    </row>
    <row r="48" spans="1:6" x14ac:dyDescent="0.35">
      <c r="A48" s="35">
        <v>36525</v>
      </c>
      <c r="B48" s="37">
        <v>1999</v>
      </c>
      <c r="C48" s="30">
        <v>39.79</v>
      </c>
      <c r="D48" s="34">
        <f t="shared" si="0"/>
        <v>0.27464108227498618</v>
      </c>
      <c r="E48" s="34">
        <f t="shared" si="1"/>
        <v>0.26131406496192788</v>
      </c>
      <c r="F48" s="34">
        <f t="shared" si="2"/>
        <v>9.2531576057111486E-2</v>
      </c>
    </row>
    <row r="49" spans="1:6" x14ac:dyDescent="0.35">
      <c r="A49" s="35">
        <v>36891</v>
      </c>
      <c r="B49" s="37">
        <v>2000</v>
      </c>
      <c r="C49" s="30">
        <v>43.27</v>
      </c>
      <c r="D49" s="34">
        <f t="shared" si="0"/>
        <v>0.29866096079514082</v>
      </c>
      <c r="E49" s="34">
        <f t="shared" si="1"/>
        <v>0.28416837373467252</v>
      </c>
      <c r="F49" s="34">
        <f t="shared" si="2"/>
        <v>8.7459160593113872E-2</v>
      </c>
    </row>
    <row r="50" spans="1:6" x14ac:dyDescent="0.35">
      <c r="A50" s="35">
        <v>37256</v>
      </c>
      <c r="B50" s="37">
        <v>2001</v>
      </c>
      <c r="C50" s="30">
        <v>46.58</v>
      </c>
      <c r="D50" s="34">
        <f t="shared" si="0"/>
        <v>0.32150745444505796</v>
      </c>
      <c r="E50" s="34">
        <f t="shared" si="1"/>
        <v>0.30590623638920833</v>
      </c>
      <c r="F50" s="34">
        <f t="shared" si="2"/>
        <v>7.649641784146044E-2</v>
      </c>
    </row>
    <row r="51" spans="1:6" x14ac:dyDescent="0.35">
      <c r="A51" s="35">
        <v>37621</v>
      </c>
      <c r="B51" s="37">
        <v>2002</v>
      </c>
      <c r="C51" s="30">
        <v>49.83</v>
      </c>
      <c r="D51" s="34">
        <f t="shared" si="0"/>
        <v>0.34393981225842074</v>
      </c>
      <c r="E51" s="34">
        <f t="shared" si="1"/>
        <v>0.32725005923731754</v>
      </c>
      <c r="F51" s="34">
        <f t="shared" si="2"/>
        <v>6.9772434521253812E-2</v>
      </c>
    </row>
    <row r="52" spans="1:6" x14ac:dyDescent="0.35">
      <c r="A52" s="35">
        <v>37986</v>
      </c>
      <c r="B52" s="37">
        <v>2003</v>
      </c>
      <c r="C52" s="30">
        <v>53.07</v>
      </c>
      <c r="D52" s="34">
        <f t="shared" si="0"/>
        <v>0.36630314743235781</v>
      </c>
      <c r="E52" s="34">
        <f t="shared" si="1"/>
        <v>0.3485282087843557</v>
      </c>
      <c r="F52" s="34">
        <f t="shared" si="2"/>
        <v>6.5021071643588169E-2</v>
      </c>
    </row>
    <row r="53" spans="1:6" x14ac:dyDescent="0.35">
      <c r="A53" s="35">
        <v>38352</v>
      </c>
      <c r="B53" s="37">
        <v>2004</v>
      </c>
      <c r="C53" s="30">
        <v>55.99</v>
      </c>
      <c r="D53" s="34">
        <f t="shared" si="0"/>
        <v>0.38645775814467148</v>
      </c>
      <c r="E53" s="34">
        <f t="shared" si="1"/>
        <v>0.36770481269711841</v>
      </c>
      <c r="F53" s="34">
        <f t="shared" si="2"/>
        <v>5.5021669493122261E-2</v>
      </c>
    </row>
    <row r="54" spans="1:6" x14ac:dyDescent="0.35">
      <c r="A54" s="35">
        <v>38717</v>
      </c>
      <c r="B54" s="37">
        <v>2005</v>
      </c>
      <c r="C54" s="30">
        <v>58.7</v>
      </c>
      <c r="D54" s="34">
        <f t="shared" si="0"/>
        <v>0.40516289342904477</v>
      </c>
      <c r="E54" s="34">
        <f t="shared" si="1"/>
        <v>0.38550227728738795</v>
      </c>
      <c r="F54" s="34">
        <f t="shared" si="2"/>
        <v>4.8401500267905018E-2</v>
      </c>
    </row>
    <row r="55" spans="1:6" x14ac:dyDescent="0.35">
      <c r="A55" s="35">
        <v>39082</v>
      </c>
      <c r="B55" s="37">
        <v>2006</v>
      </c>
      <c r="C55" s="30">
        <v>61.33</v>
      </c>
      <c r="D55" s="34">
        <f t="shared" si="0"/>
        <v>0.42331584759801216</v>
      </c>
      <c r="E55" s="34">
        <f t="shared" si="1"/>
        <v>0.40277435546908863</v>
      </c>
      <c r="F55" s="34">
        <f t="shared" si="2"/>
        <v>4.4804088586030577E-2</v>
      </c>
    </row>
    <row r="56" spans="1:6" x14ac:dyDescent="0.35">
      <c r="A56" s="35">
        <v>39447</v>
      </c>
      <c r="B56" s="37">
        <v>2007</v>
      </c>
      <c r="C56" s="30">
        <v>64.819999999999993</v>
      </c>
      <c r="D56" s="34">
        <f t="shared" si="0"/>
        <v>0.44740474875759245</v>
      </c>
      <c r="E56" s="34">
        <f t="shared" si="1"/>
        <v>0.42569433754290431</v>
      </c>
      <c r="F56" s="34">
        <f t="shared" si="2"/>
        <v>5.6905266590575598E-2</v>
      </c>
    </row>
    <row r="57" spans="1:6" x14ac:dyDescent="0.35">
      <c r="A57" s="35">
        <v>39813</v>
      </c>
      <c r="B57" s="37">
        <v>2008</v>
      </c>
      <c r="C57" s="30">
        <v>69.8</v>
      </c>
      <c r="D57" s="34">
        <f t="shared" si="0"/>
        <v>0.48177802319160684</v>
      </c>
      <c r="E57" s="34">
        <f t="shared" si="1"/>
        <v>0.45839964147631479</v>
      </c>
      <c r="F57" s="34">
        <f t="shared" si="2"/>
        <v>7.682813946312872E-2</v>
      </c>
    </row>
    <row r="58" spans="1:6" x14ac:dyDescent="0.35">
      <c r="A58" s="35">
        <v>40178</v>
      </c>
      <c r="B58" s="37">
        <v>2009</v>
      </c>
      <c r="C58" s="30">
        <v>71.2</v>
      </c>
      <c r="D58" s="34">
        <f t="shared" si="0"/>
        <v>0.49144119271120928</v>
      </c>
      <c r="E58" s="34">
        <f t="shared" si="1"/>
        <v>0.46759390362626957</v>
      </c>
      <c r="F58" s="34">
        <f t="shared" si="2"/>
        <v>2.0057306590258062E-2</v>
      </c>
    </row>
    <row r="59" spans="1:6" x14ac:dyDescent="0.35">
      <c r="A59" s="35">
        <v>40543</v>
      </c>
      <c r="B59" s="37">
        <v>2010</v>
      </c>
      <c r="C59" s="30">
        <v>73.45</v>
      </c>
      <c r="D59" s="34">
        <f t="shared" si="0"/>
        <v>0.50697128658199897</v>
      </c>
      <c r="E59" s="34">
        <f t="shared" si="1"/>
        <v>0.48237039636726825</v>
      </c>
      <c r="F59" s="34">
        <f t="shared" si="2"/>
        <v>3.1601123595505598E-2</v>
      </c>
    </row>
    <row r="60" spans="1:6" x14ac:dyDescent="0.35">
      <c r="A60" s="35">
        <v>40908</v>
      </c>
      <c r="B60" s="37">
        <v>2011</v>
      </c>
      <c r="C60" s="30">
        <v>76.19</v>
      </c>
      <c r="D60" s="34">
        <f t="shared" si="0"/>
        <v>0.52588348978464938</v>
      </c>
      <c r="E60" s="34">
        <f t="shared" si="1"/>
        <v>0.50036488086075104</v>
      </c>
      <c r="F60" s="34">
        <f t="shared" si="2"/>
        <v>3.7304288631722082E-2</v>
      </c>
    </row>
    <row r="61" spans="1:6" x14ac:dyDescent="0.35">
      <c r="A61" s="35">
        <v>41274</v>
      </c>
      <c r="B61" s="37">
        <v>2012</v>
      </c>
      <c r="C61" s="30">
        <v>78.05</v>
      </c>
      <c r="D61" s="34">
        <f t="shared" si="0"/>
        <v>0.53872170071783543</v>
      </c>
      <c r="E61" s="34">
        <f t="shared" si="1"/>
        <v>0.51258011485997668</v>
      </c>
      <c r="F61" s="34">
        <f t="shared" si="2"/>
        <v>2.4412652579078653E-2</v>
      </c>
    </row>
    <row r="62" spans="1:6" x14ac:dyDescent="0.35">
      <c r="A62" s="35">
        <v>41639</v>
      </c>
      <c r="B62" s="37">
        <v>2013</v>
      </c>
      <c r="C62" s="30">
        <v>79.56</v>
      </c>
      <c r="D62" s="34">
        <f t="shared" si="0"/>
        <v>0.54914411927112095</v>
      </c>
      <c r="E62" s="34">
        <f t="shared" si="1"/>
        <v>0.52249678332171356</v>
      </c>
      <c r="F62" s="34">
        <f t="shared" si="2"/>
        <v>1.9346572709801446E-2</v>
      </c>
    </row>
    <row r="63" spans="1:6" x14ac:dyDescent="0.35">
      <c r="A63" s="35">
        <v>42004</v>
      </c>
      <c r="B63" s="37">
        <v>2014</v>
      </c>
      <c r="C63" s="30">
        <v>82.47</v>
      </c>
      <c r="D63" s="34">
        <f t="shared" si="0"/>
        <v>0.5692297073440088</v>
      </c>
      <c r="E63" s="34">
        <f t="shared" si="1"/>
        <v>0.54160771393340523</v>
      </c>
      <c r="F63" s="34">
        <f t="shared" si="2"/>
        <v>3.6576168929109976E-2</v>
      </c>
    </row>
    <row r="64" spans="1:6" x14ac:dyDescent="0.35">
      <c r="A64" s="35">
        <v>42369</v>
      </c>
      <c r="B64" s="37">
        <v>2015</v>
      </c>
      <c r="C64" s="30">
        <v>88.05</v>
      </c>
      <c r="D64" s="34">
        <f t="shared" si="0"/>
        <v>0.60774434014356704</v>
      </c>
      <c r="E64" s="34">
        <f t="shared" si="1"/>
        <v>0.57825341593108193</v>
      </c>
      <c r="F64" s="34">
        <f t="shared" si="2"/>
        <v>6.7660967624590729E-2</v>
      </c>
    </row>
    <row r="65" spans="1:6" x14ac:dyDescent="0.35">
      <c r="A65" s="35">
        <v>42735</v>
      </c>
      <c r="B65" s="37">
        <v>2016</v>
      </c>
      <c r="C65" s="30">
        <v>93.11</v>
      </c>
      <c r="D65" s="34">
        <f t="shared" si="0"/>
        <v>0.64266979569298732</v>
      </c>
      <c r="E65" s="34">
        <f t="shared" si="1"/>
        <v>0.61148410627306116</v>
      </c>
      <c r="F65" s="34">
        <f t="shared" si="2"/>
        <v>5.7467348097671733E-2</v>
      </c>
    </row>
    <row r="66" spans="1:6" x14ac:dyDescent="0.35">
      <c r="A66" s="35">
        <v>43100</v>
      </c>
      <c r="B66" s="37">
        <v>2017</v>
      </c>
      <c r="C66" s="30">
        <v>96.92</v>
      </c>
      <c r="D66" s="34">
        <f t="shared" si="0"/>
        <v>0.66896742131419107</v>
      </c>
      <c r="E66" s="34">
        <f t="shared" si="1"/>
        <v>0.63650563398115234</v>
      </c>
      <c r="F66" s="34">
        <f t="shared" si="2"/>
        <v>4.0919342712920193E-2</v>
      </c>
    </row>
    <row r="67" spans="1:6" x14ac:dyDescent="0.35">
      <c r="A67" s="36">
        <v>43465</v>
      </c>
      <c r="B67" s="38">
        <v>2018</v>
      </c>
      <c r="C67" s="33">
        <v>100</v>
      </c>
      <c r="D67" s="39">
        <f t="shared" si="0"/>
        <v>0.69022639425731647</v>
      </c>
      <c r="E67" s="39">
        <f t="shared" si="1"/>
        <v>0.65673301071105272</v>
      </c>
      <c r="F67" s="34">
        <f t="shared" si="2"/>
        <v>3.1778786628146927E-2</v>
      </c>
    </row>
    <row r="68" spans="1:6" x14ac:dyDescent="0.35">
      <c r="A68" s="35">
        <v>43830</v>
      </c>
      <c r="B68" s="37">
        <v>2019</v>
      </c>
      <c r="C68" s="30">
        <v>103.8</v>
      </c>
      <c r="D68" s="34">
        <f t="shared" ref="D68:D73" si="3">C68/$C$73</f>
        <v>0.71645499723909445</v>
      </c>
      <c r="E68" s="34">
        <f t="shared" ref="E68:E74" si="4">C68/$C$74</f>
        <v>0.6816888651180727</v>
      </c>
      <c r="F68" s="34">
        <f t="shared" si="2"/>
        <v>3.8000000000000034E-2</v>
      </c>
    </row>
    <row r="69" spans="1:6" x14ac:dyDescent="0.35">
      <c r="A69" s="35">
        <v>44196</v>
      </c>
      <c r="B69" s="37">
        <v>2020</v>
      </c>
      <c r="C69" s="30">
        <v>105.48</v>
      </c>
      <c r="D69" s="34">
        <f t="shared" si="3"/>
        <v>0.7280508006626174</v>
      </c>
      <c r="E69" s="34">
        <f t="shared" si="4"/>
        <v>0.69272197969801841</v>
      </c>
      <c r="F69" s="34">
        <f t="shared" ref="F69:F74" si="5">C69/C68-1</f>
        <v>1.6184971098265999E-2</v>
      </c>
    </row>
    <row r="70" spans="1:6" x14ac:dyDescent="0.35">
      <c r="A70" s="35">
        <v>44561</v>
      </c>
      <c r="B70" s="37">
        <v>2021</v>
      </c>
      <c r="C70" s="30">
        <v>111.41</v>
      </c>
      <c r="D70" s="34">
        <f t="shared" si="3"/>
        <v>0.76898122584207618</v>
      </c>
      <c r="E70" s="34">
        <f t="shared" si="4"/>
        <v>0.73166624723318385</v>
      </c>
      <c r="F70" s="34">
        <f t="shared" si="5"/>
        <v>5.6219188471748227E-2</v>
      </c>
    </row>
    <row r="71" spans="1:6" x14ac:dyDescent="0.35">
      <c r="A71" s="35">
        <v>44926</v>
      </c>
      <c r="B71" s="37">
        <v>2022</v>
      </c>
      <c r="C71" s="30">
        <v>126.03</v>
      </c>
      <c r="D71" s="34">
        <f t="shared" si="3"/>
        <v>0.86989232468249589</v>
      </c>
      <c r="E71" s="34">
        <f t="shared" si="4"/>
        <v>0.82768061339913979</v>
      </c>
      <c r="F71" s="34">
        <f t="shared" si="5"/>
        <v>0.13122699937169013</v>
      </c>
    </row>
    <row r="72" spans="1:6" x14ac:dyDescent="0.35">
      <c r="A72" s="35">
        <v>45291</v>
      </c>
      <c r="B72" s="37">
        <v>2023</v>
      </c>
      <c r="C72" s="30">
        <v>137.72</v>
      </c>
      <c r="D72" s="34">
        <f t="shared" si="3"/>
        <v>0.95057979017117622</v>
      </c>
      <c r="E72" s="34">
        <f t="shared" si="4"/>
        <v>0.90445270235126185</v>
      </c>
      <c r="F72" s="34">
        <f t="shared" si="5"/>
        <v>9.2755693088947044E-2</v>
      </c>
    </row>
    <row r="73" spans="1:6" x14ac:dyDescent="0.35">
      <c r="A73" s="35">
        <v>45657</v>
      </c>
      <c r="B73" s="37">
        <v>2024</v>
      </c>
      <c r="C73" s="30">
        <v>144.88</v>
      </c>
      <c r="D73" s="34">
        <f t="shared" si="3"/>
        <v>1</v>
      </c>
      <c r="E73" s="34">
        <f t="shared" si="4"/>
        <v>0.95147478591817314</v>
      </c>
      <c r="F73" s="41">
        <f t="shared" si="5"/>
        <v>5.1989544002323473E-2</v>
      </c>
    </row>
    <row r="74" spans="1:6" x14ac:dyDescent="0.35">
      <c r="A74" s="35">
        <v>46022</v>
      </c>
      <c r="B74" s="37">
        <v>2025</v>
      </c>
      <c r="C74" s="30">
        <f>C73*(1+5.1%)</f>
        <v>152.26888</v>
      </c>
      <c r="D74" s="34">
        <f>C74/$C$73</f>
        <v>1.0509999999999999</v>
      </c>
      <c r="E74" s="34">
        <f t="shared" si="4"/>
        <v>1</v>
      </c>
      <c r="F74" s="34">
        <f t="shared" si="5"/>
        <v>5.0999999999999934E-2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Deflactor</vt:lpstr>
      <vt:lpstr>Deflactor Hist.Banrep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Laura Elena Salas Noguera</cp:lastModifiedBy>
  <cp:revision/>
  <dcterms:created xsi:type="dcterms:W3CDTF">2021-07-27T15:01:41Z</dcterms:created>
  <dcterms:modified xsi:type="dcterms:W3CDTF">2026-10-09T03:01:57Z</dcterms:modified>
  <cp:category/>
  <cp:contentStatus/>
</cp:coreProperties>
</file>